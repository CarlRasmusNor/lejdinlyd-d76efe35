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arlrasmusnor/Desktop/Lej Din Lyd/"/>
    </mc:Choice>
  </mc:AlternateContent>
  <xr:revisionPtr revIDLastSave="0" documentId="8_{0BE44100-D2D5-424F-8461-1162FF276467}" xr6:coauthVersionLast="47" xr6:coauthVersionMax="47" xr10:uidLastSave="{00000000-0000-0000-0000-000000000000}"/>
  <bookViews>
    <workbookView xWindow="120" yWindow="600" windowWidth="28680" windowHeight="15760" xr2:uid="{00000000-000D-0000-FFFF-FFFF00000000}"/>
  </bookViews>
  <sheets>
    <sheet name="2025" sheetId="4" r:id="rId1"/>
    <sheet name="2024" sheetId="3" r:id="rId2"/>
    <sheet name="2023" sheetId="1" r:id="rId3"/>
    <sheet name="2022" sheetId="2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C39" i="4"/>
  <c r="D39" i="4"/>
  <c r="E39" i="4"/>
  <c r="F39" i="4"/>
  <c r="G39" i="4"/>
  <c r="H39" i="4"/>
  <c r="I39" i="4"/>
  <c r="I38" i="4"/>
  <c r="H5" i="3"/>
  <c r="K4" i="3"/>
  <c r="I3" i="3"/>
  <c r="I4" i="3" s="1"/>
  <c r="H4" i="1"/>
  <c r="I4" i="1" s="1"/>
  <c r="I3" i="1"/>
  <c r="L23" i="2"/>
  <c r="L11" i="2"/>
  <c r="N2" i="2" s="1"/>
  <c r="I6" i="4" l="1"/>
  <c r="K4" i="4" s="1"/>
  <c r="L3" i="4" s="1"/>
  <c r="I5" i="3"/>
  <c r="K5" i="3" s="1"/>
</calcChain>
</file>

<file path=xl/sharedStrings.xml><?xml version="1.0" encoding="utf-8"?>
<sst xmlns="http://schemas.openxmlformats.org/spreadsheetml/2006/main" count="892" uniqueCount="91">
  <si>
    <t>Soundboks 1</t>
  </si>
  <si>
    <t>Uge 1</t>
  </si>
  <si>
    <t>Uge 2</t>
  </si>
  <si>
    <t>Uge 3</t>
  </si>
  <si>
    <t>Uge 4</t>
  </si>
  <si>
    <t>Uge 5</t>
  </si>
  <si>
    <t>Uge 6</t>
  </si>
  <si>
    <t>Uge 7</t>
  </si>
  <si>
    <t>Uge 8</t>
  </si>
  <si>
    <t>Uge 9</t>
  </si>
  <si>
    <t>Uge 10</t>
  </si>
  <si>
    <t>Ikke udlejet</t>
  </si>
  <si>
    <t>Mandag</t>
  </si>
  <si>
    <t xml:space="preserve">Lejet - ikke modtaget penge </t>
  </si>
  <si>
    <t>Tirsdag</t>
  </si>
  <si>
    <t>Lejet - Modtaget penge og kontrakt</t>
  </si>
  <si>
    <t>Onsdag</t>
  </si>
  <si>
    <t>Gennemført</t>
  </si>
  <si>
    <t>Torsdag</t>
  </si>
  <si>
    <t>Fredag</t>
  </si>
  <si>
    <t>Lørdag</t>
  </si>
  <si>
    <t>Lørdag (300 kr.)</t>
  </si>
  <si>
    <t>Søndag</t>
  </si>
  <si>
    <t>Soundboks 2</t>
  </si>
  <si>
    <t>Soundboks 3</t>
  </si>
  <si>
    <t>Soundboks 4</t>
  </si>
  <si>
    <t>24-30. okt</t>
  </si>
  <si>
    <t>31.okt - 6. nov</t>
  </si>
  <si>
    <t>7 - 13. nov</t>
  </si>
  <si>
    <t>14 - 20 nov</t>
  </si>
  <si>
    <t>21 - 27 nov</t>
  </si>
  <si>
    <t>28. nov - 4. dec</t>
  </si>
  <si>
    <t>5 - 11. dec</t>
  </si>
  <si>
    <t>12 - 18. dec</t>
  </si>
  <si>
    <t>19 - 25. dec</t>
  </si>
  <si>
    <t>26 dec - 1. jan</t>
  </si>
  <si>
    <t>Resultat 2022</t>
  </si>
  <si>
    <t>Uge 43</t>
  </si>
  <si>
    <t>Uge 44</t>
  </si>
  <si>
    <t>Uge 45</t>
  </si>
  <si>
    <t>Uge 46</t>
  </si>
  <si>
    <t>Uge 47</t>
  </si>
  <si>
    <t>Uge 48</t>
  </si>
  <si>
    <t>Uge 49</t>
  </si>
  <si>
    <t>Uge 50</t>
  </si>
  <si>
    <t>Uge 51</t>
  </si>
  <si>
    <t>Uge 52</t>
  </si>
  <si>
    <t>Fredag (300 kr.)</t>
  </si>
  <si>
    <t>Fredag (225 kr.)</t>
  </si>
  <si>
    <t>Sum</t>
  </si>
  <si>
    <t>Søndag (300 kr.)</t>
  </si>
  <si>
    <t>Uge</t>
  </si>
  <si>
    <t>Uge 11</t>
  </si>
  <si>
    <t>Uge 12</t>
  </si>
  <si>
    <t>Uge 13</t>
  </si>
  <si>
    <t>Uge 14</t>
  </si>
  <si>
    <t>Uge 15</t>
  </si>
  <si>
    <t>Uge 16</t>
  </si>
  <si>
    <t>Uge 17</t>
  </si>
  <si>
    <t>Uge 18</t>
  </si>
  <si>
    <t>Uge 19</t>
  </si>
  <si>
    <t>Uge 20</t>
  </si>
  <si>
    <t>Uge 21</t>
  </si>
  <si>
    <t>Uge 22</t>
  </si>
  <si>
    <t>Uge 23</t>
  </si>
  <si>
    <t>Uge 24</t>
  </si>
  <si>
    <t>Uge 25</t>
  </si>
  <si>
    <t>Uge 26</t>
  </si>
  <si>
    <t>Uge 27</t>
  </si>
  <si>
    <t>Uge 28</t>
  </si>
  <si>
    <t>Uge 29</t>
  </si>
  <si>
    <t>Uge 30</t>
  </si>
  <si>
    <t>Uge 31</t>
  </si>
  <si>
    <t>Uge 32</t>
  </si>
  <si>
    <t>Uge 33</t>
  </si>
  <si>
    <t>Uge 34</t>
  </si>
  <si>
    <t>Uge 35</t>
  </si>
  <si>
    <t>Uge 36</t>
  </si>
  <si>
    <t>Uge 37</t>
  </si>
  <si>
    <t>Uge 38</t>
  </si>
  <si>
    <t>Uge 39</t>
  </si>
  <si>
    <t>Uge 40</t>
  </si>
  <si>
    <t>Uge 41</t>
  </si>
  <si>
    <t>Uge 42</t>
  </si>
  <si>
    <t xml:space="preserve">Resultat </t>
  </si>
  <si>
    <t>Year</t>
  </si>
  <si>
    <t>Profit</t>
  </si>
  <si>
    <t>Profit Akk.</t>
  </si>
  <si>
    <t>Salgsprofit</t>
  </si>
  <si>
    <t>Aktiver</t>
  </si>
  <si>
    <t>Overskud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</si>
</sst>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149E32"/>
        <bgColor theme="7"/>
      </patternFill>
    </fill>
    <fill>
      <patternFill patternType="solid">
        <fgColor rgb="FF149E32"/>
        <bgColor theme="6"/>
      </patternFill>
    </fill>
    <fill>
      <patternFill patternType="solid">
        <fgColor theme="7"/>
        <bgColor indexed="64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4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3" fillId="0" borderId="4" xfId="0" applyFont="1" applyBorder="1"/>
    <xf numFmtId="0" fontId="1" fillId="0" borderId="3" xfId="0" applyFont="1" applyBorder="1"/>
    <xf numFmtId="0" fontId="1" fillId="7" borderId="0" xfId="0" applyFont="1" applyFill="1"/>
    <xf numFmtId="0" fontId="1" fillId="8" borderId="0" xfId="0" applyFont="1" applyFill="1"/>
    <xf numFmtId="0" fontId="0" fillId="9" borderId="0" xfId="0" applyFill="1"/>
    <xf numFmtId="164" fontId="3" fillId="0" borderId="0" xfId="0" applyNumberFormat="1" applyFont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6" fillId="0" borderId="2" xfId="0" applyFont="1" applyBorder="1"/>
    <xf numFmtId="0" fontId="3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05885-7D0E-A743-80B6-4C3EC43D245F}" name="Table1" displayName="Table1" ref="F2:I7" totalsRowShown="0" headerRowDxfId="12" dataDxfId="10" headerRowBorderDxfId="11" tableBorderDxfId="9">
  <autoFilter ref="F2:I7" xr:uid="{84405885-7D0E-A743-80B6-4C3EC43D245F}"/>
  <tableColumns count="4">
    <tableColumn id="1" xr3:uid="{F55CA47C-5B68-AE42-859D-657B20B25105}" name="Resultat " dataDxfId="8"/>
    <tableColumn id="2" xr3:uid="{34AF55FF-E99E-7241-A028-58A73F7CD6B3}" name="Year" dataDxfId="7"/>
    <tableColumn id="3" xr3:uid="{946184E5-BE36-AC46-A29C-045AE75BA02A}" name="Profit" dataDxfId="6"/>
    <tableColumn id="4" xr3:uid="{D6F8EB96-0F85-3A44-8814-D307730579EC}" name="Profit Akk.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D55FE-0832-B944-B01D-718BD6EE40BB}" name="Table2" displayName="Table2" ref="K2:M4" totalsRowShown="0" headerRowDxfId="4" dataDxfId="3">
  <autoFilter ref="K2:M4" xr:uid="{582D55FE-0832-B944-B01D-718BD6EE40BB}"/>
  <tableColumns count="3">
    <tableColumn id="1" xr3:uid="{EA3AAB4E-D539-D645-BD6B-3256257C0E55}" name="Salgsprofit" dataDxfId="2">
      <calculatedColumnFormula>I5+K3</calculatedColumnFormula>
    </tableColumn>
    <tableColumn id="2" xr3:uid="{E9D3F8CE-21B2-604C-81DE-E7F33F42FB90}" name="Overskud" dataDxfId="1"/>
    <tableColumn id="3" xr3:uid="{9B5D22BE-BA50-D040-9E36-3313F98B5B8E}" name="Aktiv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B95B-46DC-EE40-9FD7-8B0FAD2752A4}">
  <dimension ref="A1:U65"/>
  <sheetViews>
    <sheetView tabSelected="1" workbookViewId="0">
      <selection activeCell="E15" sqref="E15"/>
    </sheetView>
  </sheetViews>
  <sheetFormatPr baseColWidth="10" defaultRowHeight="13" x14ac:dyDescent="0.15"/>
  <cols>
    <col min="9" max="9" width="12" customWidth="1"/>
    <col min="11" max="11" width="12.33203125" customWidth="1"/>
    <col min="12" max="12" width="11.5" customWidth="1"/>
    <col min="21" max="21" width="12.5" bestFit="1" customWidth="1"/>
  </cols>
  <sheetData>
    <row r="1" spans="1:20" x14ac:dyDescent="0.1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0" x14ac:dyDescent="0.15">
      <c r="A2" s="21"/>
      <c r="B2" s="8"/>
      <c r="C2" s="8"/>
      <c r="D2" s="8"/>
      <c r="E2" s="21"/>
      <c r="F2" s="27" t="s">
        <v>84</v>
      </c>
      <c r="G2" s="16" t="s">
        <v>85</v>
      </c>
      <c r="H2" s="16" t="s">
        <v>86</v>
      </c>
      <c r="I2" s="14" t="s">
        <v>87</v>
      </c>
      <c r="J2" s="8"/>
      <c r="K2" s="8" t="s">
        <v>88</v>
      </c>
      <c r="L2" s="8" t="s">
        <v>90</v>
      </c>
      <c r="M2" s="8" t="s">
        <v>89</v>
      </c>
      <c r="N2" s="8"/>
      <c r="O2" s="8"/>
      <c r="P2" s="8"/>
      <c r="Q2" s="8"/>
      <c r="R2" s="8"/>
      <c r="S2" s="8"/>
    </row>
    <row r="3" spans="1:20" x14ac:dyDescent="0.15">
      <c r="A3" s="8"/>
      <c r="B3" s="8"/>
      <c r="C3" s="8"/>
      <c r="D3" s="8"/>
      <c r="E3" s="8"/>
      <c r="F3" s="16"/>
      <c r="G3" s="16">
        <v>2022</v>
      </c>
      <c r="H3" s="16">
        <v>1950</v>
      </c>
      <c r="I3" s="14">
        <v>1950</v>
      </c>
      <c r="J3" s="8"/>
      <c r="K3" s="8">
        <v>2000</v>
      </c>
      <c r="L3" s="8">
        <f>SUM(K3:K4)-M3</f>
        <v>14400</v>
      </c>
      <c r="M3" s="8">
        <v>5200</v>
      </c>
      <c r="N3" s="8"/>
      <c r="O3" s="8"/>
      <c r="P3" s="8"/>
      <c r="Q3" s="8"/>
      <c r="R3" s="8"/>
      <c r="S3" s="8"/>
    </row>
    <row r="4" spans="1:20" x14ac:dyDescent="0.15">
      <c r="A4" s="8"/>
      <c r="B4" s="8"/>
      <c r="C4" s="8"/>
      <c r="D4" s="8"/>
      <c r="E4" s="8"/>
      <c r="F4" s="16"/>
      <c r="G4" s="16">
        <v>2023</v>
      </c>
      <c r="H4" s="16">
        <v>3900</v>
      </c>
      <c r="I4" s="14">
        <v>5850</v>
      </c>
      <c r="J4" s="8"/>
      <c r="K4" s="8">
        <f>I6+K3</f>
        <v>17600</v>
      </c>
      <c r="L4" s="8"/>
      <c r="M4" s="8"/>
      <c r="N4" s="8"/>
      <c r="O4" s="8"/>
      <c r="P4" s="8"/>
      <c r="Q4" s="8"/>
      <c r="R4" s="8"/>
      <c r="S4" s="8"/>
    </row>
    <row r="5" spans="1:20" x14ac:dyDescent="0.15">
      <c r="A5" s="8"/>
      <c r="B5" s="8"/>
      <c r="C5" s="8"/>
      <c r="D5" s="8"/>
      <c r="E5" s="8"/>
      <c r="F5" s="16"/>
      <c r="G5" s="16">
        <v>2024</v>
      </c>
      <c r="H5" s="16">
        <v>3100</v>
      </c>
      <c r="I5" s="14">
        <v>8950</v>
      </c>
      <c r="J5" s="8"/>
      <c r="N5" s="8"/>
      <c r="O5" s="8"/>
      <c r="P5" s="8"/>
      <c r="Q5" s="8"/>
      <c r="R5" s="8"/>
      <c r="S5" s="8"/>
    </row>
    <row r="6" spans="1:20" x14ac:dyDescent="0.15">
      <c r="A6" s="8"/>
      <c r="B6" s="8"/>
      <c r="C6" s="8" t="s">
        <v>11</v>
      </c>
      <c r="D6" s="8"/>
      <c r="E6" s="8"/>
      <c r="F6" s="16"/>
      <c r="G6" s="16">
        <v>2025</v>
      </c>
      <c r="H6" s="16">
        <f>SUM(C13:I64)+SUM(M13:S64)</f>
        <v>6650</v>
      </c>
      <c r="I6" s="14">
        <f>I5+H6</f>
        <v>15600</v>
      </c>
      <c r="J6" s="8"/>
      <c r="K6" s="8"/>
      <c r="L6" s="8"/>
      <c r="M6" s="8"/>
      <c r="N6" s="8"/>
      <c r="O6" s="8"/>
      <c r="P6" s="8"/>
      <c r="Q6" s="8"/>
      <c r="R6" s="8"/>
      <c r="S6" s="8"/>
    </row>
    <row r="7" spans="1:20" x14ac:dyDescent="0.15">
      <c r="A7" s="8"/>
      <c r="B7" s="22"/>
      <c r="C7" s="8" t="s">
        <v>13</v>
      </c>
      <c r="D7" s="8"/>
      <c r="E7" s="8"/>
      <c r="F7" s="26"/>
      <c r="G7" s="26"/>
      <c r="H7" s="26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20" x14ac:dyDescent="0.15">
      <c r="A8" s="8"/>
      <c r="B8" s="23"/>
      <c r="C8" s="8" t="s">
        <v>15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20" x14ac:dyDescent="0.15">
      <c r="A9" s="8"/>
      <c r="B9" s="24"/>
      <c r="C9" s="8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20" x14ac:dyDescent="0.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20" x14ac:dyDescent="0.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20" x14ac:dyDescent="0.15">
      <c r="A12" s="25" t="s">
        <v>0</v>
      </c>
      <c r="B12" s="16" t="s">
        <v>51</v>
      </c>
      <c r="C12" s="14" t="s">
        <v>12</v>
      </c>
      <c r="D12" s="14" t="s">
        <v>14</v>
      </c>
      <c r="E12" s="14" t="s">
        <v>16</v>
      </c>
      <c r="F12" s="14" t="s">
        <v>18</v>
      </c>
      <c r="G12" s="14" t="s">
        <v>19</v>
      </c>
      <c r="H12" s="14" t="s">
        <v>20</v>
      </c>
      <c r="I12" s="14" t="s">
        <v>22</v>
      </c>
      <c r="J12" s="8"/>
      <c r="K12" s="25" t="s">
        <v>23</v>
      </c>
      <c r="L12" s="16" t="s">
        <v>51</v>
      </c>
      <c r="M12" s="14" t="s">
        <v>12</v>
      </c>
      <c r="N12" s="14" t="s">
        <v>14</v>
      </c>
      <c r="O12" s="14" t="s">
        <v>16</v>
      </c>
      <c r="P12" s="14" t="s">
        <v>18</v>
      </c>
      <c r="Q12" s="14" t="s">
        <v>19</v>
      </c>
      <c r="R12" s="14" t="s">
        <v>20</v>
      </c>
      <c r="S12" s="14" t="s">
        <v>22</v>
      </c>
    </row>
    <row r="13" spans="1:20" x14ac:dyDescent="0.15">
      <c r="A13" s="21">
        <v>45658</v>
      </c>
      <c r="B13" s="26" t="s">
        <v>1</v>
      </c>
      <c r="C13" s="8"/>
      <c r="D13" s="8"/>
      <c r="E13" s="8"/>
      <c r="F13" s="8"/>
      <c r="G13" s="8"/>
      <c r="H13" s="8"/>
      <c r="I13" s="8"/>
      <c r="J13" s="8"/>
      <c r="K13" s="21">
        <v>45658</v>
      </c>
      <c r="L13" s="26" t="s">
        <v>1</v>
      </c>
      <c r="M13" s="8"/>
      <c r="N13" s="8"/>
      <c r="O13" s="8"/>
      <c r="P13" s="8"/>
      <c r="Q13" s="8"/>
      <c r="R13" s="8"/>
      <c r="S13" s="8"/>
    </row>
    <row r="14" spans="1:20" x14ac:dyDescent="0.15">
      <c r="A14" s="21">
        <v>45665</v>
      </c>
      <c r="B14" s="26" t="s">
        <v>2</v>
      </c>
      <c r="C14" s="8"/>
      <c r="D14" s="8"/>
      <c r="E14" s="8"/>
      <c r="F14" s="8"/>
      <c r="G14" s="8"/>
      <c r="H14" s="8"/>
      <c r="I14" s="8"/>
      <c r="J14" s="8"/>
      <c r="K14" s="21">
        <v>45665</v>
      </c>
      <c r="L14" s="26" t="s">
        <v>2</v>
      </c>
      <c r="M14" s="8"/>
      <c r="N14" s="8"/>
      <c r="O14" s="8"/>
      <c r="P14" s="8"/>
      <c r="Q14" s="8"/>
      <c r="R14" s="8"/>
      <c r="S14" s="8"/>
    </row>
    <row r="15" spans="1:20" x14ac:dyDescent="0.15">
      <c r="A15" s="21">
        <v>45672</v>
      </c>
      <c r="B15" s="26" t="s">
        <v>3</v>
      </c>
      <c r="C15" s="8"/>
      <c r="D15" s="8"/>
      <c r="E15" s="8"/>
      <c r="F15" s="8"/>
      <c r="G15" s="8"/>
      <c r="H15" s="8"/>
      <c r="I15" s="8"/>
      <c r="J15" s="8"/>
      <c r="K15" s="21">
        <v>45672</v>
      </c>
      <c r="L15" s="26" t="s">
        <v>3</v>
      </c>
      <c r="M15" s="8"/>
      <c r="N15" s="8"/>
      <c r="O15" s="8"/>
      <c r="P15" s="8"/>
      <c r="Q15" s="8"/>
      <c r="R15" s="8"/>
      <c r="S15" s="8"/>
      <c r="T15" s="8"/>
    </row>
    <row r="16" spans="1:20" x14ac:dyDescent="0.15">
      <c r="A16" s="21">
        <v>45679</v>
      </c>
      <c r="B16" s="26" t="s">
        <v>4</v>
      </c>
      <c r="C16" s="8"/>
      <c r="D16" s="8"/>
      <c r="E16" s="8"/>
      <c r="F16" s="8"/>
      <c r="G16" s="8"/>
      <c r="H16" s="8"/>
      <c r="I16" s="8"/>
      <c r="J16" s="8"/>
      <c r="K16" s="21">
        <v>45679</v>
      </c>
      <c r="L16" s="26" t="s">
        <v>4</v>
      </c>
      <c r="M16" s="8"/>
      <c r="N16" s="8"/>
      <c r="O16" s="8"/>
      <c r="P16" s="8"/>
      <c r="Q16" s="8"/>
      <c r="R16" s="8"/>
      <c r="S16" s="8"/>
      <c r="T16" s="8"/>
    </row>
    <row r="17" spans="1:20" x14ac:dyDescent="0.15">
      <c r="A17" s="21">
        <v>45686</v>
      </c>
      <c r="B17" s="26" t="s">
        <v>5</v>
      </c>
      <c r="C17" s="8"/>
      <c r="D17" s="8"/>
      <c r="E17" s="8"/>
      <c r="F17" s="8"/>
      <c r="G17" s="8"/>
      <c r="H17" s="8"/>
      <c r="I17" s="8"/>
      <c r="J17" s="8"/>
      <c r="K17" s="21">
        <v>45686</v>
      </c>
      <c r="L17" s="26" t="s">
        <v>5</v>
      </c>
      <c r="M17" s="8"/>
      <c r="N17" s="8"/>
      <c r="O17" s="8"/>
      <c r="P17" s="8"/>
      <c r="Q17" s="8"/>
      <c r="R17" s="8"/>
      <c r="S17" s="8"/>
      <c r="T17" s="8"/>
    </row>
    <row r="18" spans="1:20" x14ac:dyDescent="0.15">
      <c r="A18" s="21">
        <v>45693</v>
      </c>
      <c r="B18" s="26" t="s">
        <v>6</v>
      </c>
      <c r="C18" s="8"/>
      <c r="D18" s="8"/>
      <c r="E18" s="8"/>
      <c r="F18" s="8"/>
      <c r="G18" s="8"/>
      <c r="H18" s="8"/>
      <c r="I18" s="8"/>
      <c r="J18" s="8"/>
      <c r="K18" s="21">
        <v>45693</v>
      </c>
      <c r="L18" s="26" t="s">
        <v>6</v>
      </c>
      <c r="M18" s="8"/>
      <c r="N18" s="8"/>
      <c r="O18" s="8"/>
      <c r="P18" s="8"/>
      <c r="Q18" s="8"/>
      <c r="R18" s="8"/>
      <c r="S18" s="8"/>
      <c r="T18" s="8"/>
    </row>
    <row r="19" spans="1:20" x14ac:dyDescent="0.15">
      <c r="A19" s="21">
        <v>45700</v>
      </c>
      <c r="B19" s="26" t="s">
        <v>7</v>
      </c>
      <c r="C19" s="8"/>
      <c r="D19" s="8"/>
      <c r="E19" s="8"/>
      <c r="F19" s="8"/>
      <c r="G19" s="8"/>
      <c r="H19" s="8"/>
      <c r="I19" s="8"/>
      <c r="J19" s="8"/>
      <c r="K19" s="21">
        <v>45700</v>
      </c>
      <c r="L19" s="26" t="s">
        <v>7</v>
      </c>
      <c r="M19" s="8"/>
      <c r="N19" s="8"/>
      <c r="O19" s="8"/>
      <c r="P19" s="8"/>
      <c r="Q19" s="8"/>
      <c r="R19" s="8"/>
      <c r="S19" s="8"/>
      <c r="T19" s="8"/>
    </row>
    <row r="20" spans="1:20" x14ac:dyDescent="0.15">
      <c r="A20" s="21">
        <v>45707</v>
      </c>
      <c r="B20" s="26" t="s">
        <v>8</v>
      </c>
      <c r="C20" s="8"/>
      <c r="D20" s="8"/>
      <c r="E20" s="8"/>
      <c r="F20" s="8"/>
      <c r="G20" s="8"/>
      <c r="H20" s="8"/>
      <c r="I20" s="8"/>
      <c r="J20" s="8"/>
      <c r="K20" s="21">
        <v>45707</v>
      </c>
      <c r="L20" s="26" t="s">
        <v>8</v>
      </c>
      <c r="M20" s="8"/>
      <c r="N20" s="8"/>
      <c r="O20" s="8"/>
      <c r="P20" s="8"/>
      <c r="Q20" s="8"/>
      <c r="R20" s="8"/>
      <c r="S20" s="8"/>
      <c r="T20" s="8"/>
    </row>
    <row r="21" spans="1:20" x14ac:dyDescent="0.15">
      <c r="A21" s="21">
        <v>45714</v>
      </c>
      <c r="B21" s="26" t="s">
        <v>9</v>
      </c>
      <c r="C21" s="8"/>
      <c r="D21" s="8"/>
      <c r="E21" s="8"/>
      <c r="F21" s="24">
        <v>300</v>
      </c>
      <c r="G21" s="24">
        <v>300</v>
      </c>
      <c r="H21" s="8"/>
      <c r="I21" s="8"/>
      <c r="J21" s="8"/>
      <c r="K21" s="21">
        <v>45714</v>
      </c>
      <c r="L21" s="26" t="s">
        <v>9</v>
      </c>
      <c r="M21" s="8"/>
      <c r="N21" s="8"/>
      <c r="O21" s="8"/>
      <c r="P21" s="24">
        <v>300</v>
      </c>
      <c r="Q21" s="24">
        <v>300</v>
      </c>
      <c r="R21" s="8"/>
      <c r="S21" s="8"/>
      <c r="T21" s="8"/>
    </row>
    <row r="22" spans="1:20" x14ac:dyDescent="0.15">
      <c r="A22" s="21">
        <v>45720</v>
      </c>
      <c r="B22" s="26" t="s">
        <v>10</v>
      </c>
      <c r="C22" s="8"/>
      <c r="D22" s="8"/>
      <c r="E22" s="8"/>
      <c r="F22" s="8"/>
      <c r="G22" s="8"/>
      <c r="H22" s="8"/>
      <c r="I22" s="8"/>
      <c r="J22" s="8"/>
      <c r="K22" s="21">
        <v>45720</v>
      </c>
      <c r="L22" s="26" t="s">
        <v>10</v>
      </c>
      <c r="M22" s="8"/>
      <c r="N22" s="8"/>
      <c r="O22" s="8"/>
      <c r="P22" s="8"/>
      <c r="Q22" s="8"/>
      <c r="R22" s="8"/>
      <c r="S22" s="8"/>
      <c r="T22" s="8"/>
    </row>
    <row r="23" spans="1:20" x14ac:dyDescent="0.15">
      <c r="A23" s="21">
        <v>45727</v>
      </c>
      <c r="B23" s="26" t="s">
        <v>52</v>
      </c>
      <c r="C23" s="8"/>
      <c r="D23" s="8"/>
      <c r="E23" s="8"/>
      <c r="F23" s="8"/>
      <c r="G23" s="8"/>
      <c r="H23" s="8"/>
      <c r="I23" s="8"/>
      <c r="J23" s="8"/>
      <c r="K23" s="21">
        <v>45727</v>
      </c>
      <c r="L23" s="26" t="s">
        <v>52</v>
      </c>
      <c r="M23" s="8"/>
      <c r="N23" s="8"/>
      <c r="O23" s="8"/>
      <c r="P23" s="8"/>
      <c r="Q23" s="8"/>
      <c r="R23" s="8"/>
      <c r="S23" s="8"/>
      <c r="T23" s="8"/>
    </row>
    <row r="24" spans="1:20" x14ac:dyDescent="0.15">
      <c r="A24" s="21">
        <v>45734</v>
      </c>
      <c r="B24" s="26" t="s">
        <v>53</v>
      </c>
      <c r="C24" s="8"/>
      <c r="D24" s="8"/>
      <c r="E24" s="8"/>
      <c r="F24" s="8"/>
      <c r="G24" s="8"/>
      <c r="H24" s="8"/>
      <c r="I24" s="8"/>
      <c r="J24" s="8"/>
      <c r="K24" s="21">
        <v>45734</v>
      </c>
      <c r="L24" s="26" t="s">
        <v>53</v>
      </c>
      <c r="M24" s="8"/>
      <c r="N24" s="8"/>
      <c r="O24" s="8"/>
      <c r="P24" s="8"/>
      <c r="Q24" s="8"/>
      <c r="R24" s="8"/>
      <c r="S24" s="8"/>
      <c r="T24" s="8"/>
    </row>
    <row r="25" spans="1:20" x14ac:dyDescent="0.15">
      <c r="A25" s="21">
        <v>45741</v>
      </c>
      <c r="B25" s="26" t="s">
        <v>54</v>
      </c>
      <c r="C25" s="8"/>
      <c r="D25" s="8"/>
      <c r="E25" s="8"/>
      <c r="F25" s="8"/>
      <c r="G25" s="8"/>
      <c r="H25" s="8"/>
      <c r="I25" s="8"/>
      <c r="J25" s="8"/>
      <c r="K25" s="21">
        <v>45741</v>
      </c>
      <c r="L25" s="26" t="s">
        <v>54</v>
      </c>
      <c r="M25" s="8"/>
      <c r="N25" s="8"/>
      <c r="O25" s="8"/>
      <c r="P25" s="8"/>
      <c r="Q25" s="8"/>
      <c r="R25" s="8"/>
      <c r="S25" s="8"/>
      <c r="T25" s="8"/>
    </row>
    <row r="26" spans="1:20" x14ac:dyDescent="0.15">
      <c r="A26" s="21">
        <v>45748</v>
      </c>
      <c r="B26" s="26" t="s">
        <v>55</v>
      </c>
      <c r="C26" s="8"/>
      <c r="D26" s="8"/>
      <c r="E26" s="8"/>
      <c r="F26" s="8"/>
      <c r="G26" s="8"/>
      <c r="H26" s="8"/>
      <c r="I26" s="8"/>
      <c r="J26" s="8"/>
      <c r="K26" s="21">
        <v>45748</v>
      </c>
      <c r="L26" s="26" t="s">
        <v>55</v>
      </c>
      <c r="M26" s="8"/>
      <c r="N26" s="8"/>
      <c r="O26" s="8"/>
      <c r="P26" s="8"/>
      <c r="Q26" s="8"/>
      <c r="R26" s="8"/>
      <c r="S26" s="8"/>
      <c r="T26" s="8"/>
    </row>
    <row r="27" spans="1:20" x14ac:dyDescent="0.15">
      <c r="A27" s="21">
        <v>45755</v>
      </c>
      <c r="B27" s="26" t="s">
        <v>56</v>
      </c>
      <c r="C27" s="8"/>
      <c r="D27" s="8"/>
      <c r="E27" s="8"/>
      <c r="F27" s="8"/>
      <c r="G27" s="8"/>
      <c r="H27" s="8"/>
      <c r="I27" s="8"/>
      <c r="J27" s="8"/>
      <c r="K27" s="21">
        <v>45755</v>
      </c>
      <c r="L27" s="26" t="s">
        <v>56</v>
      </c>
      <c r="M27" s="8"/>
      <c r="N27" s="8"/>
      <c r="O27" s="8"/>
      <c r="P27" s="8"/>
      <c r="Q27" s="8"/>
      <c r="R27" s="8"/>
      <c r="S27" s="8"/>
      <c r="T27" s="8"/>
    </row>
    <row r="28" spans="1:20" x14ac:dyDescent="0.15">
      <c r="A28" s="21">
        <v>45762</v>
      </c>
      <c r="B28" s="26" t="s">
        <v>57</v>
      </c>
      <c r="C28" s="8"/>
      <c r="D28" s="8"/>
      <c r="E28" s="8"/>
      <c r="F28" s="8"/>
      <c r="G28" s="24">
        <v>300</v>
      </c>
      <c r="H28" s="8"/>
      <c r="I28" s="8"/>
      <c r="J28" s="8"/>
      <c r="K28" s="21">
        <v>45762</v>
      </c>
      <c r="L28" s="26" t="s">
        <v>57</v>
      </c>
      <c r="M28" s="8"/>
      <c r="N28" s="8"/>
      <c r="O28" s="8"/>
      <c r="P28" s="8"/>
      <c r="Q28" s="8"/>
      <c r="R28" s="8"/>
      <c r="S28" s="8"/>
      <c r="T28" s="8"/>
    </row>
    <row r="29" spans="1:20" x14ac:dyDescent="0.15">
      <c r="A29" s="21">
        <v>45769</v>
      </c>
      <c r="B29" s="26" t="s">
        <v>58</v>
      </c>
      <c r="C29" s="8"/>
      <c r="D29" s="8"/>
      <c r="E29" s="8"/>
      <c r="F29" s="8"/>
      <c r="G29" s="8"/>
      <c r="H29" s="8"/>
      <c r="I29" s="8"/>
      <c r="J29" s="8"/>
      <c r="K29" s="21">
        <v>45769</v>
      </c>
      <c r="L29" s="26" t="s">
        <v>58</v>
      </c>
      <c r="M29" s="8"/>
      <c r="N29" s="8"/>
      <c r="O29" s="8"/>
      <c r="P29" s="8"/>
      <c r="Q29" s="8"/>
      <c r="R29" s="8"/>
      <c r="S29" s="8"/>
      <c r="T29" s="8"/>
    </row>
    <row r="30" spans="1:20" x14ac:dyDescent="0.15">
      <c r="A30" s="21">
        <v>45776</v>
      </c>
      <c r="B30" s="26" t="s">
        <v>59</v>
      </c>
      <c r="C30" s="8"/>
      <c r="D30" s="8"/>
      <c r="E30" s="8"/>
      <c r="F30" s="8"/>
      <c r="G30" s="8"/>
      <c r="H30" s="8"/>
      <c r="I30" s="8"/>
      <c r="J30" s="8"/>
      <c r="K30" s="21">
        <v>45776</v>
      </c>
      <c r="L30" s="26" t="s">
        <v>59</v>
      </c>
      <c r="M30" s="8"/>
      <c r="N30" s="8"/>
      <c r="O30" s="8"/>
      <c r="P30" s="8"/>
      <c r="Q30" s="8"/>
      <c r="R30" s="8"/>
      <c r="S30" s="8"/>
      <c r="T30" s="8"/>
    </row>
    <row r="31" spans="1:20" x14ac:dyDescent="0.15">
      <c r="A31" s="21">
        <v>45783</v>
      </c>
      <c r="B31" s="26" t="s">
        <v>60</v>
      </c>
      <c r="C31" s="8"/>
      <c r="D31" s="8"/>
      <c r="E31" s="8"/>
      <c r="F31" s="8"/>
      <c r="G31" s="8"/>
      <c r="H31" s="8"/>
      <c r="I31" s="8"/>
      <c r="J31" s="8"/>
      <c r="K31" s="21">
        <v>45783</v>
      </c>
      <c r="L31" s="26" t="s">
        <v>60</v>
      </c>
      <c r="M31" s="8"/>
      <c r="N31" s="8"/>
      <c r="O31" s="8"/>
      <c r="P31" s="8"/>
      <c r="Q31" s="8"/>
      <c r="R31" s="8"/>
      <c r="S31" s="8"/>
      <c r="T31" s="8"/>
    </row>
    <row r="32" spans="1:20" x14ac:dyDescent="0.15">
      <c r="A32" s="21">
        <v>45790</v>
      </c>
      <c r="B32" s="26" t="s">
        <v>61</v>
      </c>
      <c r="C32" s="8"/>
      <c r="D32" s="8"/>
      <c r="E32" s="8"/>
      <c r="F32" s="8"/>
      <c r="G32" s="8"/>
      <c r="H32" s="8"/>
      <c r="I32" s="8"/>
      <c r="J32" s="8"/>
      <c r="K32" s="21">
        <v>45790</v>
      </c>
      <c r="L32" s="26" t="s">
        <v>61</v>
      </c>
      <c r="M32" s="8"/>
      <c r="N32" s="8"/>
      <c r="O32" s="8"/>
      <c r="P32" s="8"/>
      <c r="Q32" s="8"/>
      <c r="R32" s="8"/>
      <c r="S32" s="8"/>
      <c r="T32" s="8"/>
    </row>
    <row r="33" spans="1:21" x14ac:dyDescent="0.15">
      <c r="A33" s="21">
        <v>45797</v>
      </c>
      <c r="B33" s="26" t="s">
        <v>62</v>
      </c>
      <c r="C33" s="8"/>
      <c r="D33" s="8"/>
      <c r="E33" s="8"/>
      <c r="F33" s="8"/>
      <c r="G33" s="8"/>
      <c r="H33" s="8"/>
      <c r="I33" s="8"/>
      <c r="J33" s="8"/>
      <c r="K33" s="21">
        <v>45797</v>
      </c>
      <c r="L33" s="26" t="s">
        <v>62</v>
      </c>
      <c r="M33" s="8"/>
      <c r="N33" s="8"/>
      <c r="O33" s="8"/>
      <c r="P33" s="8"/>
      <c r="Q33" s="8"/>
      <c r="R33" s="8"/>
      <c r="S33" s="8"/>
      <c r="T33" s="8"/>
    </row>
    <row r="34" spans="1:21" x14ac:dyDescent="0.15">
      <c r="A34" s="21">
        <v>45804</v>
      </c>
      <c r="B34" s="26" t="s">
        <v>63</v>
      </c>
      <c r="C34" s="8"/>
      <c r="D34" s="8"/>
      <c r="E34" s="8"/>
      <c r="F34" s="8"/>
      <c r="G34" s="24">
        <v>250</v>
      </c>
      <c r="H34" s="24">
        <v>250</v>
      </c>
      <c r="I34" s="24">
        <v>250</v>
      </c>
      <c r="J34" s="8"/>
      <c r="K34" s="21">
        <v>45804</v>
      </c>
      <c r="L34" s="26" t="s">
        <v>63</v>
      </c>
      <c r="M34" s="8"/>
      <c r="N34" s="8"/>
      <c r="O34" s="8"/>
      <c r="P34" s="8"/>
      <c r="Q34" s="8"/>
      <c r="R34" s="8"/>
      <c r="S34" s="8"/>
      <c r="T34" s="8"/>
    </row>
    <row r="35" spans="1:21" x14ac:dyDescent="0.15">
      <c r="A35" s="21">
        <v>45811</v>
      </c>
      <c r="B35" s="26" t="s">
        <v>64</v>
      </c>
      <c r="C35" s="8"/>
      <c r="D35" s="8"/>
      <c r="E35" s="8"/>
      <c r="F35" s="8"/>
      <c r="G35" s="8"/>
      <c r="H35" s="24">
        <v>300</v>
      </c>
      <c r="I35" s="8"/>
      <c r="J35" s="8"/>
      <c r="K35" s="21">
        <v>45811</v>
      </c>
      <c r="L35" s="26" t="s">
        <v>64</v>
      </c>
      <c r="M35" s="8"/>
      <c r="N35" s="8"/>
      <c r="O35" s="8"/>
      <c r="P35" s="8"/>
      <c r="Q35" s="8"/>
      <c r="R35" s="8"/>
      <c r="S35" s="8"/>
      <c r="T35" s="8"/>
    </row>
    <row r="36" spans="1:21" x14ac:dyDescent="0.15">
      <c r="A36" s="21">
        <v>45818</v>
      </c>
      <c r="B36" s="26" t="s">
        <v>65</v>
      </c>
      <c r="C36" s="8"/>
      <c r="D36" s="8"/>
      <c r="E36" s="8"/>
      <c r="F36" s="8"/>
      <c r="G36" s="8"/>
      <c r="H36" s="8"/>
      <c r="I36" s="8"/>
      <c r="J36" s="8"/>
      <c r="K36" s="21">
        <v>45818</v>
      </c>
      <c r="L36" s="26" t="s">
        <v>65</v>
      </c>
      <c r="M36" s="8"/>
      <c r="N36" s="8"/>
      <c r="O36" s="8"/>
      <c r="P36" s="8"/>
      <c r="Q36" s="8"/>
      <c r="R36" s="8"/>
      <c r="S36" s="8"/>
      <c r="T36" s="8"/>
    </row>
    <row r="37" spans="1:21" x14ac:dyDescent="0.15">
      <c r="A37" s="21">
        <v>45825</v>
      </c>
      <c r="B37" s="26" t="s">
        <v>66</v>
      </c>
      <c r="C37" s="8"/>
      <c r="D37" s="8"/>
      <c r="E37" s="8"/>
      <c r="F37" s="8"/>
      <c r="G37" s="8"/>
      <c r="H37" s="24">
        <v>300</v>
      </c>
      <c r="I37" s="24">
        <v>300</v>
      </c>
      <c r="J37" s="8"/>
      <c r="K37" s="21">
        <v>45825</v>
      </c>
      <c r="L37" s="26" t="s">
        <v>66</v>
      </c>
      <c r="M37" s="8"/>
      <c r="N37" s="8"/>
      <c r="O37" s="8"/>
      <c r="P37" s="8"/>
      <c r="Q37" s="8"/>
      <c r="R37" s="8"/>
      <c r="S37" s="8"/>
      <c r="T37" s="8"/>
    </row>
    <row r="38" spans="1:21" x14ac:dyDescent="0.15">
      <c r="A38" s="21">
        <v>45832</v>
      </c>
      <c r="B38" s="26" t="s">
        <v>67</v>
      </c>
      <c r="C38" s="8"/>
      <c r="D38" s="8"/>
      <c r="E38" s="8"/>
      <c r="F38" s="8"/>
      <c r="G38" s="8"/>
      <c r="H38" s="24">
        <v>300</v>
      </c>
      <c r="I38" s="24">
        <f>2000/8</f>
        <v>250</v>
      </c>
      <c r="J38" s="8"/>
      <c r="K38" s="21">
        <v>45832</v>
      </c>
      <c r="L38" s="26" t="s">
        <v>67</v>
      </c>
      <c r="M38" s="8"/>
      <c r="N38" s="8"/>
      <c r="O38" s="8"/>
      <c r="P38" s="8"/>
      <c r="Q38" s="8"/>
      <c r="R38" s="8"/>
      <c r="S38" s="8"/>
      <c r="T38" s="8"/>
    </row>
    <row r="39" spans="1:21" x14ac:dyDescent="0.15">
      <c r="A39" s="21">
        <v>45839</v>
      </c>
      <c r="B39" s="26" t="s">
        <v>68</v>
      </c>
      <c r="C39" s="24">
        <f t="shared" ref="C39:H39" si="0">2000/8</f>
        <v>250</v>
      </c>
      <c r="D39" s="24">
        <f t="shared" si="0"/>
        <v>250</v>
      </c>
      <c r="E39" s="24">
        <f t="shared" si="0"/>
        <v>250</v>
      </c>
      <c r="F39" s="24">
        <f t="shared" si="0"/>
        <v>250</v>
      </c>
      <c r="G39" s="24">
        <f t="shared" si="0"/>
        <v>250</v>
      </c>
      <c r="H39" s="24">
        <f t="shared" si="0"/>
        <v>250</v>
      </c>
      <c r="I39" s="24">
        <f>2000/8</f>
        <v>250</v>
      </c>
      <c r="J39" s="8"/>
      <c r="K39" s="21">
        <v>45839</v>
      </c>
      <c r="L39" s="26" t="s">
        <v>68</v>
      </c>
      <c r="M39" s="8"/>
      <c r="N39" s="8"/>
      <c r="P39" s="24">
        <v>300</v>
      </c>
      <c r="Q39" s="24">
        <v>300</v>
      </c>
      <c r="R39" s="8"/>
      <c r="S39" s="8"/>
      <c r="T39" s="8"/>
      <c r="U39" s="8"/>
    </row>
    <row r="40" spans="1:21" x14ac:dyDescent="0.15">
      <c r="A40" s="21">
        <v>45846</v>
      </c>
      <c r="B40" s="26" t="s">
        <v>69</v>
      </c>
      <c r="C40" s="8"/>
      <c r="D40" s="8"/>
      <c r="E40" s="8"/>
      <c r="F40" s="8"/>
      <c r="G40" s="8"/>
      <c r="H40" s="8"/>
      <c r="I40" s="8"/>
      <c r="J40" s="8"/>
      <c r="K40" s="21">
        <v>45846</v>
      </c>
      <c r="L40" s="26" t="s">
        <v>69</v>
      </c>
      <c r="M40" s="8"/>
      <c r="N40" s="8"/>
      <c r="P40" s="8"/>
      <c r="Q40" s="8"/>
      <c r="R40" s="8"/>
      <c r="S40" s="8"/>
      <c r="T40" s="8"/>
    </row>
    <row r="41" spans="1:21" x14ac:dyDescent="0.15">
      <c r="A41" s="21">
        <v>45853</v>
      </c>
      <c r="B41" s="26" t="s">
        <v>70</v>
      </c>
      <c r="C41" s="8"/>
      <c r="D41" s="8"/>
      <c r="E41" s="8"/>
      <c r="F41" s="8"/>
      <c r="G41" s="8"/>
      <c r="H41" s="8"/>
      <c r="I41" s="8"/>
      <c r="J41" s="8"/>
      <c r="K41" s="21">
        <v>45853</v>
      </c>
      <c r="L41" s="26" t="s">
        <v>70</v>
      </c>
      <c r="M41" s="8"/>
      <c r="N41" s="8"/>
      <c r="O41" s="8"/>
      <c r="P41" s="8"/>
      <c r="Q41" s="8"/>
      <c r="R41" s="8"/>
      <c r="S41" s="8"/>
      <c r="T41" s="8"/>
    </row>
    <row r="42" spans="1:21" x14ac:dyDescent="0.15">
      <c r="A42" s="21">
        <v>45860</v>
      </c>
      <c r="B42" s="26" t="s">
        <v>71</v>
      </c>
      <c r="C42" s="8"/>
      <c r="D42" s="8"/>
      <c r="E42" s="8"/>
      <c r="F42" s="8"/>
      <c r="G42" s="8"/>
      <c r="H42" s="8"/>
      <c r="I42" s="8"/>
      <c r="J42" s="8"/>
      <c r="K42" s="21">
        <v>45860</v>
      </c>
      <c r="L42" s="26" t="s">
        <v>71</v>
      </c>
      <c r="M42" s="8"/>
      <c r="N42" s="8"/>
      <c r="O42" s="8"/>
      <c r="P42" s="8"/>
      <c r="Q42" s="8"/>
      <c r="R42" s="8"/>
      <c r="S42" s="8"/>
      <c r="T42" s="8"/>
    </row>
    <row r="43" spans="1:21" x14ac:dyDescent="0.15">
      <c r="A43" s="21">
        <v>45867</v>
      </c>
      <c r="B43" s="26" t="s">
        <v>72</v>
      </c>
      <c r="C43" s="8"/>
      <c r="D43" s="8"/>
      <c r="E43" s="8"/>
      <c r="F43" s="8"/>
      <c r="G43" s="8"/>
      <c r="H43" s="8"/>
      <c r="I43" s="8"/>
      <c r="J43" s="8"/>
      <c r="K43" s="21">
        <v>45867</v>
      </c>
      <c r="L43" s="26" t="s">
        <v>72</v>
      </c>
      <c r="M43" s="8"/>
      <c r="N43" s="8"/>
      <c r="O43" s="8"/>
      <c r="P43" s="8"/>
      <c r="Q43" s="8"/>
      <c r="R43" s="8"/>
      <c r="S43" s="8"/>
      <c r="T43" s="8"/>
    </row>
    <row r="44" spans="1:21" x14ac:dyDescent="0.15">
      <c r="A44" s="21">
        <v>45874</v>
      </c>
      <c r="B44" s="26" t="s">
        <v>73</v>
      </c>
      <c r="C44" s="8"/>
      <c r="D44" s="8"/>
      <c r="E44" s="8"/>
      <c r="F44" s="8"/>
      <c r="G44" s="8"/>
      <c r="H44" s="24">
        <v>300</v>
      </c>
      <c r="I44" s="8"/>
      <c r="J44" s="8"/>
      <c r="K44" s="21">
        <v>45874</v>
      </c>
      <c r="L44" s="26" t="s">
        <v>73</v>
      </c>
      <c r="M44" s="8"/>
      <c r="N44" s="8"/>
      <c r="O44" s="8"/>
      <c r="P44" s="8"/>
      <c r="Q44" s="8"/>
      <c r="R44" s="8"/>
      <c r="S44" s="8"/>
      <c r="T44" s="8"/>
    </row>
    <row r="45" spans="1:21" x14ac:dyDescent="0.15">
      <c r="A45" s="21">
        <v>45881</v>
      </c>
      <c r="B45" s="26" t="s">
        <v>74</v>
      </c>
      <c r="C45" s="8"/>
      <c r="D45" s="8"/>
      <c r="E45" s="8"/>
      <c r="F45" s="8"/>
      <c r="G45" s="8"/>
      <c r="H45" s="8"/>
      <c r="I45" s="8"/>
      <c r="J45" s="8"/>
      <c r="K45" s="21">
        <v>45881</v>
      </c>
      <c r="L45" s="26" t="s">
        <v>74</v>
      </c>
      <c r="M45" s="8"/>
      <c r="N45" s="8"/>
      <c r="O45" s="8"/>
      <c r="P45" s="8"/>
      <c r="Q45" s="8"/>
      <c r="R45" s="8"/>
      <c r="S45" s="8"/>
      <c r="T45" s="8"/>
    </row>
    <row r="46" spans="1:21" x14ac:dyDescent="0.15">
      <c r="A46" s="21">
        <v>45888</v>
      </c>
      <c r="B46" s="26" t="s">
        <v>75</v>
      </c>
      <c r="C46" s="8"/>
      <c r="D46" s="8"/>
      <c r="E46" s="8"/>
      <c r="F46" s="8"/>
      <c r="G46" s="8"/>
      <c r="H46" s="8"/>
      <c r="I46" s="8"/>
      <c r="J46" s="8"/>
      <c r="K46" s="21">
        <v>45888</v>
      </c>
      <c r="L46" s="26" t="s">
        <v>75</v>
      </c>
      <c r="M46" s="8"/>
      <c r="N46" s="8"/>
      <c r="O46" s="8"/>
      <c r="P46" s="8"/>
      <c r="Q46" s="8"/>
      <c r="R46" s="8"/>
      <c r="S46" s="8"/>
      <c r="T46" s="8"/>
    </row>
    <row r="47" spans="1:21" x14ac:dyDescent="0.15">
      <c r="A47" s="21">
        <v>45895</v>
      </c>
      <c r="B47" s="26" t="s">
        <v>76</v>
      </c>
      <c r="C47" s="8"/>
      <c r="D47" s="8"/>
      <c r="E47" s="8"/>
      <c r="F47" s="8"/>
      <c r="G47" s="8"/>
      <c r="H47" s="8"/>
      <c r="I47" s="8"/>
      <c r="J47" s="8"/>
      <c r="K47" s="21">
        <v>45895</v>
      </c>
      <c r="L47" s="26" t="s">
        <v>76</v>
      </c>
      <c r="M47" s="8"/>
      <c r="N47" s="8"/>
      <c r="O47" s="8"/>
      <c r="P47" s="8"/>
      <c r="Q47" s="8"/>
      <c r="R47" s="8"/>
      <c r="S47" s="8"/>
      <c r="T47" s="8"/>
    </row>
    <row r="48" spans="1:21" x14ac:dyDescent="0.15">
      <c r="A48" s="21">
        <v>45902</v>
      </c>
      <c r="B48" s="26" t="s">
        <v>77</v>
      </c>
      <c r="C48" s="8"/>
      <c r="D48" s="8"/>
      <c r="E48" s="8"/>
      <c r="F48" s="8"/>
      <c r="G48" s="8"/>
      <c r="H48" s="22">
        <v>300</v>
      </c>
      <c r="I48" s="8"/>
      <c r="J48" s="8"/>
      <c r="K48" s="21">
        <v>45902</v>
      </c>
      <c r="L48" s="26" t="s">
        <v>77</v>
      </c>
      <c r="M48" s="8"/>
      <c r="N48" s="8"/>
      <c r="O48" s="8"/>
      <c r="P48" s="8"/>
      <c r="Q48" s="8"/>
      <c r="R48" s="8"/>
      <c r="S48" s="8"/>
      <c r="T48" s="8"/>
    </row>
    <row r="49" spans="1:20" x14ac:dyDescent="0.15">
      <c r="A49" s="21">
        <v>45909</v>
      </c>
      <c r="B49" s="26" t="s">
        <v>78</v>
      </c>
      <c r="C49" s="8"/>
      <c r="D49" s="8"/>
      <c r="E49" s="8"/>
      <c r="F49" s="8"/>
      <c r="G49" s="8"/>
      <c r="H49" s="8"/>
      <c r="I49" s="8"/>
      <c r="J49" s="8"/>
      <c r="K49" s="21">
        <v>45909</v>
      </c>
      <c r="L49" s="26" t="s">
        <v>78</v>
      </c>
      <c r="M49" s="8"/>
      <c r="N49" s="8"/>
      <c r="O49" s="8"/>
      <c r="P49" s="8"/>
      <c r="Q49" s="8"/>
      <c r="R49" s="8"/>
      <c r="S49" s="8"/>
      <c r="T49" s="8"/>
    </row>
    <row r="50" spans="1:20" x14ac:dyDescent="0.15">
      <c r="A50" s="21">
        <v>45916</v>
      </c>
      <c r="B50" s="26" t="s">
        <v>79</v>
      </c>
      <c r="C50" s="8"/>
      <c r="D50" s="8"/>
      <c r="E50" s="8"/>
      <c r="F50" s="8"/>
      <c r="G50" s="8"/>
      <c r="H50" s="8"/>
      <c r="I50" s="8"/>
      <c r="J50" s="8"/>
      <c r="K50" s="21">
        <v>45916</v>
      </c>
      <c r="L50" s="26" t="s">
        <v>79</v>
      </c>
      <c r="M50" s="8"/>
      <c r="N50" s="8"/>
      <c r="O50" s="8"/>
      <c r="P50" s="8"/>
      <c r="Q50" s="8"/>
      <c r="R50" s="8"/>
      <c r="S50" s="8"/>
      <c r="T50" s="8"/>
    </row>
    <row r="51" spans="1:20" x14ac:dyDescent="0.15">
      <c r="A51" s="21">
        <v>45923</v>
      </c>
      <c r="B51" s="26" t="s">
        <v>80</v>
      </c>
      <c r="C51" s="8"/>
      <c r="D51" s="8"/>
      <c r="E51" s="8"/>
      <c r="F51" s="8"/>
      <c r="G51" s="8"/>
      <c r="H51" s="8"/>
      <c r="I51" s="8"/>
      <c r="J51" s="8"/>
      <c r="K51" s="21">
        <v>45923</v>
      </c>
      <c r="L51" s="26" t="s">
        <v>80</v>
      </c>
      <c r="M51" s="8"/>
      <c r="N51" s="8"/>
      <c r="O51" s="8"/>
      <c r="P51" s="8"/>
      <c r="Q51" s="8"/>
      <c r="R51" s="8"/>
      <c r="S51" s="8"/>
      <c r="T51" s="8"/>
    </row>
    <row r="52" spans="1:20" x14ac:dyDescent="0.15">
      <c r="A52" s="21">
        <v>45930</v>
      </c>
      <c r="B52" s="26" t="s">
        <v>81</v>
      </c>
      <c r="C52" s="8"/>
      <c r="D52" s="8"/>
      <c r="E52" s="8"/>
      <c r="F52" s="8"/>
      <c r="G52" s="8"/>
      <c r="H52" s="8"/>
      <c r="I52" s="8"/>
      <c r="J52" s="8"/>
      <c r="K52" s="21">
        <v>45930</v>
      </c>
      <c r="L52" s="26" t="s">
        <v>81</v>
      </c>
      <c r="M52" s="8"/>
      <c r="N52" s="8"/>
      <c r="O52" s="8"/>
      <c r="P52" s="8"/>
      <c r="Q52" s="8"/>
      <c r="R52" s="8"/>
      <c r="S52" s="8"/>
      <c r="T52" s="8"/>
    </row>
    <row r="53" spans="1:20" x14ac:dyDescent="0.15">
      <c r="A53" s="21">
        <v>45937</v>
      </c>
      <c r="B53" s="26" t="s">
        <v>82</v>
      </c>
      <c r="C53" s="8"/>
      <c r="D53" s="8"/>
      <c r="E53" s="8"/>
      <c r="F53" s="8"/>
      <c r="G53" s="8"/>
      <c r="H53" s="8"/>
      <c r="I53" s="8"/>
      <c r="J53" s="8"/>
      <c r="K53" s="21">
        <v>45937</v>
      </c>
      <c r="L53" s="26" t="s">
        <v>82</v>
      </c>
      <c r="M53" s="8"/>
      <c r="N53" s="8"/>
      <c r="O53" s="8"/>
      <c r="P53" s="8"/>
      <c r="Q53" s="8"/>
      <c r="R53" s="8"/>
      <c r="S53" s="8"/>
      <c r="T53" s="8"/>
    </row>
    <row r="54" spans="1:20" x14ac:dyDescent="0.15">
      <c r="A54" s="21">
        <v>45944</v>
      </c>
      <c r="B54" s="26" t="s">
        <v>83</v>
      </c>
      <c r="C54" s="8"/>
      <c r="D54" s="8"/>
      <c r="E54" s="8"/>
      <c r="F54" s="8"/>
      <c r="G54" s="8"/>
      <c r="H54" s="8"/>
      <c r="I54" s="8"/>
      <c r="J54" s="8"/>
      <c r="K54" s="21">
        <v>45944</v>
      </c>
      <c r="L54" s="26" t="s">
        <v>83</v>
      </c>
      <c r="M54" s="8"/>
      <c r="N54" s="8"/>
      <c r="O54" s="8"/>
      <c r="P54" s="8"/>
      <c r="Q54" s="8"/>
      <c r="R54" s="8"/>
      <c r="S54" s="8"/>
      <c r="T54" s="8"/>
    </row>
    <row r="55" spans="1:20" x14ac:dyDescent="0.15">
      <c r="A55" s="21">
        <v>45951</v>
      </c>
      <c r="B55" s="26" t="s">
        <v>37</v>
      </c>
      <c r="C55" s="8"/>
      <c r="D55" s="8"/>
      <c r="E55" s="8"/>
      <c r="F55" s="8"/>
      <c r="G55" s="8"/>
      <c r="H55" s="8"/>
      <c r="I55" s="8"/>
      <c r="J55" s="8"/>
      <c r="K55" s="21">
        <v>45951</v>
      </c>
      <c r="L55" s="26" t="s">
        <v>37</v>
      </c>
      <c r="M55" s="8"/>
      <c r="N55" s="8"/>
      <c r="O55" s="8"/>
      <c r="P55" s="8"/>
      <c r="Q55" s="8"/>
      <c r="R55" s="8"/>
      <c r="S55" s="8"/>
      <c r="T55" s="8"/>
    </row>
    <row r="56" spans="1:20" x14ac:dyDescent="0.15">
      <c r="A56" s="21">
        <v>45958</v>
      </c>
      <c r="B56" s="26" t="s">
        <v>38</v>
      </c>
      <c r="C56" s="8"/>
      <c r="D56" s="8"/>
      <c r="E56" s="8"/>
      <c r="F56" s="8"/>
      <c r="G56" s="8"/>
      <c r="H56" s="8"/>
      <c r="I56" s="8"/>
      <c r="J56" s="8"/>
      <c r="K56" s="21">
        <v>45958</v>
      </c>
      <c r="L56" s="26" t="s">
        <v>38</v>
      </c>
      <c r="M56" s="8"/>
      <c r="N56" s="8"/>
      <c r="O56" s="8"/>
      <c r="P56" s="8"/>
      <c r="Q56" s="8"/>
      <c r="R56" s="8"/>
      <c r="S56" s="8"/>
      <c r="T56" s="8"/>
    </row>
    <row r="57" spans="1:20" x14ac:dyDescent="0.15">
      <c r="A57" s="21">
        <v>45965</v>
      </c>
      <c r="B57" s="26" t="s">
        <v>39</v>
      </c>
      <c r="C57" s="8"/>
      <c r="D57" s="8"/>
      <c r="E57" s="8"/>
      <c r="F57" s="8"/>
      <c r="G57" s="8"/>
      <c r="H57" s="8"/>
      <c r="I57" s="8"/>
      <c r="J57" s="8"/>
      <c r="K57" s="21">
        <v>45965</v>
      </c>
      <c r="L57" s="26" t="s">
        <v>39</v>
      </c>
      <c r="M57" s="8"/>
      <c r="N57" s="8"/>
      <c r="O57" s="8"/>
      <c r="P57" s="8"/>
      <c r="Q57" s="8"/>
      <c r="R57" s="8"/>
      <c r="S57" s="8"/>
      <c r="T57" s="8"/>
    </row>
    <row r="58" spans="1:20" x14ac:dyDescent="0.15">
      <c r="A58" s="21">
        <v>45972</v>
      </c>
      <c r="B58" s="26" t="s">
        <v>40</v>
      </c>
      <c r="C58" s="8"/>
      <c r="D58" s="8"/>
      <c r="E58" s="8"/>
      <c r="F58" s="8"/>
      <c r="G58" s="8"/>
      <c r="H58" s="8"/>
      <c r="I58" s="8"/>
      <c r="J58" s="8"/>
      <c r="K58" s="21">
        <v>45972</v>
      </c>
      <c r="L58" s="26" t="s">
        <v>40</v>
      </c>
      <c r="M58" s="8"/>
      <c r="N58" s="8"/>
      <c r="O58" s="8"/>
      <c r="P58" s="8"/>
      <c r="Q58" s="8"/>
      <c r="R58" s="8"/>
      <c r="S58" s="8"/>
      <c r="T58" s="8"/>
    </row>
    <row r="59" spans="1:20" x14ac:dyDescent="0.15">
      <c r="A59" s="21">
        <v>45979</v>
      </c>
      <c r="B59" s="26" t="s">
        <v>41</v>
      </c>
      <c r="C59" s="8"/>
      <c r="D59" s="8"/>
      <c r="E59" s="8"/>
      <c r="F59" s="8"/>
      <c r="G59" s="8"/>
      <c r="H59" s="8"/>
      <c r="I59" s="8"/>
      <c r="J59" s="8"/>
      <c r="K59" s="21">
        <v>45979</v>
      </c>
      <c r="L59" s="26" t="s">
        <v>41</v>
      </c>
      <c r="M59" s="8"/>
      <c r="N59" s="8"/>
      <c r="O59" s="8"/>
      <c r="P59" s="8"/>
      <c r="Q59" s="8"/>
      <c r="R59" s="8"/>
      <c r="S59" s="8"/>
      <c r="T59" s="8"/>
    </row>
    <row r="60" spans="1:20" x14ac:dyDescent="0.15">
      <c r="A60" s="21">
        <v>45986</v>
      </c>
      <c r="B60" s="26" t="s">
        <v>42</v>
      </c>
      <c r="C60" s="8"/>
      <c r="D60" s="8"/>
      <c r="E60" s="8"/>
      <c r="F60" s="8"/>
      <c r="G60" s="8"/>
      <c r="H60" s="8"/>
      <c r="I60" s="8"/>
      <c r="J60" s="8"/>
      <c r="K60" s="21">
        <v>45986</v>
      </c>
      <c r="L60" s="26" t="s">
        <v>42</v>
      </c>
      <c r="M60" s="8"/>
      <c r="N60" s="8"/>
      <c r="O60" s="8"/>
      <c r="P60" s="8"/>
      <c r="Q60" s="8"/>
      <c r="R60" s="8"/>
      <c r="S60" s="8"/>
      <c r="T60" s="8"/>
    </row>
    <row r="61" spans="1:20" x14ac:dyDescent="0.15">
      <c r="A61" s="21">
        <v>45993</v>
      </c>
      <c r="B61" s="26" t="s">
        <v>43</v>
      </c>
      <c r="C61" s="8"/>
      <c r="D61" s="8"/>
      <c r="E61" s="8"/>
      <c r="F61" s="8"/>
      <c r="G61" s="8"/>
      <c r="H61" s="8"/>
      <c r="I61" s="8"/>
      <c r="J61" s="8"/>
      <c r="K61" s="21">
        <v>45993</v>
      </c>
      <c r="L61" s="26" t="s">
        <v>43</v>
      </c>
      <c r="M61" s="8"/>
      <c r="N61" s="8"/>
      <c r="O61" s="8"/>
      <c r="P61" s="8"/>
      <c r="Q61" s="8"/>
      <c r="R61" s="8"/>
      <c r="S61" s="8"/>
      <c r="T61" s="8"/>
    </row>
    <row r="62" spans="1:20" x14ac:dyDescent="0.15">
      <c r="A62" s="21">
        <v>46000</v>
      </c>
      <c r="B62" s="26" t="s">
        <v>44</v>
      </c>
      <c r="C62" s="8"/>
      <c r="D62" s="8"/>
      <c r="E62" s="8"/>
      <c r="F62" s="8"/>
      <c r="G62" s="8"/>
      <c r="H62" s="8"/>
      <c r="I62" s="8"/>
      <c r="J62" s="8"/>
      <c r="K62" s="21">
        <v>46000</v>
      </c>
      <c r="L62" s="26" t="s">
        <v>44</v>
      </c>
      <c r="M62" s="8"/>
      <c r="N62" s="8"/>
      <c r="O62" s="8"/>
      <c r="P62" s="8"/>
      <c r="Q62" s="8"/>
      <c r="R62" s="8"/>
      <c r="S62" s="8"/>
      <c r="T62" s="8"/>
    </row>
    <row r="63" spans="1:20" x14ac:dyDescent="0.15">
      <c r="A63" s="21">
        <v>46007</v>
      </c>
      <c r="B63" s="26" t="s">
        <v>45</v>
      </c>
      <c r="C63" s="8"/>
      <c r="D63" s="8"/>
      <c r="E63" s="8"/>
      <c r="F63" s="8"/>
      <c r="G63" s="8"/>
      <c r="H63" s="8"/>
      <c r="I63" s="8"/>
      <c r="J63" s="8"/>
      <c r="K63" s="21">
        <v>46007</v>
      </c>
      <c r="L63" s="26" t="s">
        <v>45</v>
      </c>
      <c r="M63" s="8"/>
      <c r="N63" s="8"/>
      <c r="O63" s="8"/>
      <c r="P63" s="8"/>
      <c r="Q63" s="8"/>
      <c r="R63" s="8"/>
      <c r="S63" s="8"/>
      <c r="T63" s="8"/>
    </row>
    <row r="64" spans="1:20" x14ac:dyDescent="0.15">
      <c r="A64" s="21">
        <v>46014</v>
      </c>
      <c r="B64" s="26" t="s">
        <v>46</v>
      </c>
      <c r="C64" s="8"/>
      <c r="D64" s="8"/>
      <c r="E64" s="8"/>
      <c r="F64" s="8"/>
      <c r="G64" s="8"/>
      <c r="H64" s="8"/>
      <c r="I64" s="8"/>
      <c r="J64" s="8"/>
      <c r="K64" s="21">
        <v>46014</v>
      </c>
      <c r="L64" s="26" t="s">
        <v>46</v>
      </c>
      <c r="M64" s="8"/>
      <c r="N64" s="8"/>
      <c r="O64" s="8"/>
      <c r="P64" s="8"/>
      <c r="Q64" s="8"/>
      <c r="R64" s="8"/>
      <c r="S64" s="8"/>
      <c r="T64" s="8"/>
    </row>
    <row r="65" spans="1:19" x14ac:dyDescent="0.15">
      <c r="A65" s="2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98AA-3645-8048-81D8-A80083D2821F}">
  <dimension ref="A1:S65"/>
  <sheetViews>
    <sheetView zoomScale="92" workbookViewId="0">
      <selection activeCell="K5" sqref="K5"/>
    </sheetView>
  </sheetViews>
  <sheetFormatPr baseColWidth="10" defaultColWidth="12.6640625" defaultRowHeight="13" x14ac:dyDescent="0.15"/>
  <cols>
    <col min="11" max="11" width="11.83203125" bestFit="1" customWidth="1"/>
    <col min="12" max="12" width="6.83203125" bestFit="1" customWidth="1"/>
    <col min="13" max="13" width="10.33203125" customWidth="1"/>
    <col min="15" max="15" width="10.6640625" customWidth="1"/>
    <col min="17" max="17" width="10.1640625" customWidth="1"/>
    <col min="19" max="19" width="11.6640625" customWidth="1"/>
  </cols>
  <sheetData>
    <row r="1" spans="1:19" ht="15.75" customHeight="1" x14ac:dyDescent="0.15">
      <c r="A1" s="1"/>
    </row>
    <row r="2" spans="1:19" ht="15.75" customHeight="1" x14ac:dyDescent="0.15">
      <c r="A2" s="2"/>
      <c r="B2" s="1"/>
      <c r="C2" s="1"/>
      <c r="D2" s="1"/>
      <c r="E2" s="2"/>
      <c r="F2" s="9" t="s">
        <v>84</v>
      </c>
      <c r="G2" s="10" t="s">
        <v>85</v>
      </c>
      <c r="H2" s="10" t="s">
        <v>86</v>
      </c>
      <c r="I2" s="10" t="s">
        <v>87</v>
      </c>
    </row>
    <row r="3" spans="1:19" ht="15.75" customHeight="1" x14ac:dyDescent="0.15">
      <c r="A3" s="1"/>
      <c r="D3" s="1"/>
      <c r="E3" s="1"/>
      <c r="F3" s="11"/>
      <c r="G3" s="12">
        <v>2022</v>
      </c>
      <c r="H3" s="12">
        <v>1950</v>
      </c>
      <c r="I3" s="12">
        <f>H3</f>
        <v>1950</v>
      </c>
      <c r="K3" s="8" t="s">
        <v>88</v>
      </c>
      <c r="M3" s="8" t="s">
        <v>89</v>
      </c>
    </row>
    <row r="4" spans="1:19" ht="15.75" customHeight="1" x14ac:dyDescent="0.15">
      <c r="A4" s="1"/>
      <c r="B4" s="1"/>
      <c r="C4" s="1"/>
      <c r="D4" s="1"/>
      <c r="E4" s="1"/>
      <c r="F4" s="11"/>
      <c r="G4" s="12">
        <v>2023</v>
      </c>
      <c r="H4" s="11">
        <v>3900</v>
      </c>
      <c r="I4" s="12">
        <f>I3+H4</f>
        <v>5850</v>
      </c>
      <c r="K4">
        <f>(3500+3700)-(2600*2)</f>
        <v>2000</v>
      </c>
      <c r="M4">
        <v>5200</v>
      </c>
    </row>
    <row r="5" spans="1:19" x14ac:dyDescent="0.15">
      <c r="F5" s="11"/>
      <c r="G5" s="12">
        <v>2024</v>
      </c>
      <c r="H5" s="11">
        <f>SUM(C14:I65)+SUM(M14:S65)</f>
        <v>3100</v>
      </c>
      <c r="I5" s="12">
        <f>I4+H5</f>
        <v>8950</v>
      </c>
      <c r="K5">
        <f>K4+I5</f>
        <v>10950</v>
      </c>
    </row>
    <row r="6" spans="1:19" ht="15.75" customHeight="1" x14ac:dyDescent="0.15">
      <c r="C6" s="1" t="s">
        <v>11</v>
      </c>
    </row>
    <row r="7" spans="1:19" ht="15.75" customHeight="1" x14ac:dyDescent="0.15">
      <c r="B7" s="4"/>
      <c r="C7" s="1" t="s">
        <v>13</v>
      </c>
    </row>
    <row r="8" spans="1:19" ht="15.75" customHeight="1" x14ac:dyDescent="0.15">
      <c r="B8" s="5"/>
      <c r="C8" s="1" t="s">
        <v>15</v>
      </c>
    </row>
    <row r="9" spans="1:19" ht="15.75" customHeight="1" x14ac:dyDescent="0.15">
      <c r="B9" s="6"/>
      <c r="C9" s="1" t="s">
        <v>17</v>
      </c>
    </row>
    <row r="12" spans="1:19" s="8" customFormat="1" x14ac:dyDescent="0.15">
      <c r="A12" s="13" t="s">
        <v>0</v>
      </c>
      <c r="B12" s="16" t="s">
        <v>51</v>
      </c>
      <c r="C12" s="14" t="s">
        <v>12</v>
      </c>
      <c r="D12" s="14" t="s">
        <v>14</v>
      </c>
      <c r="E12" s="15" t="s">
        <v>16</v>
      </c>
      <c r="F12" s="15" t="s">
        <v>18</v>
      </c>
      <c r="G12" s="15" t="s">
        <v>19</v>
      </c>
      <c r="H12" s="15" t="s">
        <v>20</v>
      </c>
      <c r="I12" s="15" t="s">
        <v>22</v>
      </c>
      <c r="K12" s="13" t="s">
        <v>23</v>
      </c>
      <c r="L12" s="16" t="s">
        <v>51</v>
      </c>
      <c r="M12" s="14" t="s">
        <v>12</v>
      </c>
      <c r="N12" s="14" t="s">
        <v>14</v>
      </c>
      <c r="O12" s="15" t="s">
        <v>16</v>
      </c>
      <c r="P12" s="15" t="s">
        <v>18</v>
      </c>
      <c r="Q12" s="15" t="s">
        <v>19</v>
      </c>
      <c r="R12" s="15" t="s">
        <v>20</v>
      </c>
      <c r="S12" s="15" t="s">
        <v>22</v>
      </c>
    </row>
    <row r="13" spans="1:19" ht="15.75" customHeight="1" x14ac:dyDescent="0.15">
      <c r="A13" s="2">
        <v>45292</v>
      </c>
      <c r="B13" s="17" t="s">
        <v>1</v>
      </c>
      <c r="C13" s="1"/>
      <c r="D13" s="1"/>
      <c r="E13" s="1"/>
      <c r="F13" s="1"/>
      <c r="G13" s="1"/>
      <c r="H13" s="1"/>
      <c r="I13" s="1"/>
      <c r="K13" s="2">
        <v>45292</v>
      </c>
      <c r="L13" s="17" t="s">
        <v>1</v>
      </c>
    </row>
    <row r="14" spans="1:19" ht="15.75" customHeight="1" x14ac:dyDescent="0.15">
      <c r="A14" s="2">
        <v>45299</v>
      </c>
      <c r="B14" s="17" t="s">
        <v>2</v>
      </c>
      <c r="C14" s="1"/>
      <c r="D14" s="1"/>
      <c r="E14" s="1"/>
      <c r="F14" s="1"/>
      <c r="G14" s="1"/>
      <c r="H14" s="1"/>
      <c r="I14" s="1"/>
      <c r="K14" s="2">
        <v>45299</v>
      </c>
      <c r="L14" s="17" t="s">
        <v>2</v>
      </c>
    </row>
    <row r="15" spans="1:19" ht="15.75" customHeight="1" x14ac:dyDescent="0.15">
      <c r="A15" s="2">
        <v>45306</v>
      </c>
      <c r="B15" s="17" t="s">
        <v>3</v>
      </c>
      <c r="C15" s="1"/>
      <c r="D15" s="1"/>
      <c r="E15" s="1"/>
      <c r="F15" s="1"/>
      <c r="G15" s="1"/>
      <c r="H15" s="1"/>
      <c r="I15" s="1"/>
      <c r="J15" s="1"/>
      <c r="K15" s="2">
        <v>45306</v>
      </c>
      <c r="L15" s="17" t="s">
        <v>3</v>
      </c>
    </row>
    <row r="16" spans="1:19" ht="15.75" customHeight="1" x14ac:dyDescent="0.15">
      <c r="A16" s="2">
        <v>45313</v>
      </c>
      <c r="B16" s="17" t="s">
        <v>4</v>
      </c>
      <c r="C16" s="1"/>
      <c r="D16" s="1"/>
      <c r="E16" s="1"/>
      <c r="F16" s="1"/>
      <c r="G16" s="1"/>
      <c r="H16" s="1"/>
      <c r="I16" s="1"/>
      <c r="J16" s="1"/>
      <c r="K16" s="2">
        <v>45313</v>
      </c>
      <c r="L16" s="17" t="s">
        <v>4</v>
      </c>
    </row>
    <row r="17" spans="1:18" ht="15.75" customHeight="1" x14ac:dyDescent="0.15">
      <c r="A17" s="2">
        <v>45320</v>
      </c>
      <c r="B17" s="17" t="s">
        <v>5</v>
      </c>
      <c r="C17" s="1"/>
      <c r="D17" s="1"/>
      <c r="E17" s="1"/>
      <c r="F17" s="1"/>
      <c r="G17" s="1"/>
      <c r="H17" s="1"/>
      <c r="I17" s="1"/>
      <c r="J17" s="1"/>
      <c r="K17" s="2">
        <v>45320</v>
      </c>
      <c r="L17" s="17" t="s">
        <v>5</v>
      </c>
    </row>
    <row r="18" spans="1:18" ht="15.75" customHeight="1" x14ac:dyDescent="0.15">
      <c r="A18" s="2">
        <v>45327</v>
      </c>
      <c r="B18" s="17" t="s">
        <v>6</v>
      </c>
      <c r="C18" s="1"/>
      <c r="D18" s="1"/>
      <c r="E18" s="1"/>
      <c r="F18" s="1"/>
      <c r="G18" s="1"/>
      <c r="H18" s="1"/>
      <c r="I18" s="1"/>
      <c r="J18" s="1"/>
      <c r="K18" s="2">
        <v>45327</v>
      </c>
      <c r="L18" s="17" t="s">
        <v>6</v>
      </c>
    </row>
    <row r="19" spans="1:18" ht="15.75" customHeight="1" x14ac:dyDescent="0.15">
      <c r="A19" s="2">
        <v>45334</v>
      </c>
      <c r="B19" s="17" t="s">
        <v>7</v>
      </c>
      <c r="C19" s="1"/>
      <c r="D19" s="1"/>
      <c r="E19" s="1"/>
      <c r="F19" s="1"/>
      <c r="G19" s="6">
        <v>200</v>
      </c>
      <c r="H19" s="1"/>
      <c r="I19" s="1"/>
      <c r="J19" s="1"/>
      <c r="K19" s="2">
        <v>45334</v>
      </c>
      <c r="L19" s="17" t="s">
        <v>7</v>
      </c>
    </row>
    <row r="20" spans="1:18" ht="15.75" customHeight="1" x14ac:dyDescent="0.15">
      <c r="A20" s="2">
        <v>45341</v>
      </c>
      <c r="B20" s="17" t="s">
        <v>8</v>
      </c>
      <c r="C20" s="1"/>
      <c r="D20" s="1"/>
      <c r="E20" s="1"/>
      <c r="F20" s="1"/>
      <c r="G20" s="1"/>
      <c r="H20" s="1"/>
      <c r="I20" s="1"/>
      <c r="J20" s="1"/>
      <c r="K20" s="2">
        <v>45341</v>
      </c>
      <c r="L20" s="17" t="s">
        <v>8</v>
      </c>
    </row>
    <row r="21" spans="1:18" ht="15.75" customHeight="1" x14ac:dyDescent="0.15">
      <c r="A21" s="2">
        <v>45348</v>
      </c>
      <c r="B21" s="17" t="s">
        <v>9</v>
      </c>
      <c r="C21" s="1"/>
      <c r="D21" s="1"/>
      <c r="E21" s="1"/>
      <c r="F21" s="1"/>
      <c r="G21" s="1"/>
      <c r="H21" s="1"/>
      <c r="I21" s="1"/>
      <c r="J21" s="1"/>
      <c r="K21" s="2">
        <v>45348</v>
      </c>
      <c r="L21" s="17" t="s">
        <v>9</v>
      </c>
    </row>
    <row r="22" spans="1:18" ht="15.75" customHeight="1" x14ac:dyDescent="0.15">
      <c r="A22" s="2">
        <v>45355</v>
      </c>
      <c r="B22" s="17" t="s">
        <v>10</v>
      </c>
      <c r="C22" s="1"/>
      <c r="D22" s="1"/>
      <c r="E22" s="1"/>
      <c r="F22" s="1"/>
      <c r="G22" s="1"/>
      <c r="H22" s="1"/>
      <c r="I22" s="1"/>
      <c r="J22" s="1"/>
      <c r="K22" s="2">
        <v>45355</v>
      </c>
      <c r="L22" s="17" t="s">
        <v>10</v>
      </c>
    </row>
    <row r="23" spans="1:18" x14ac:dyDescent="0.15">
      <c r="A23" s="2">
        <v>45362</v>
      </c>
      <c r="B23" s="17" t="s">
        <v>52</v>
      </c>
      <c r="C23" s="1"/>
      <c r="D23" s="1"/>
      <c r="E23" s="1"/>
      <c r="F23" s="1"/>
      <c r="G23" s="1"/>
      <c r="H23" s="1"/>
      <c r="I23" s="1"/>
      <c r="J23" s="1"/>
      <c r="K23" s="2">
        <v>45362</v>
      </c>
      <c r="L23" s="17" t="s">
        <v>52</v>
      </c>
    </row>
    <row r="24" spans="1:18" ht="15.75" customHeight="1" x14ac:dyDescent="0.15">
      <c r="A24" s="2">
        <v>45369</v>
      </c>
      <c r="B24" s="17" t="s">
        <v>53</v>
      </c>
      <c r="C24" s="1"/>
      <c r="D24" s="1"/>
      <c r="E24" s="1"/>
      <c r="F24" s="1"/>
      <c r="G24" s="1"/>
      <c r="H24" s="6">
        <v>0</v>
      </c>
      <c r="I24" s="1"/>
      <c r="J24" s="1"/>
      <c r="K24" s="2">
        <v>45369</v>
      </c>
      <c r="L24" s="17" t="s">
        <v>53</v>
      </c>
    </row>
    <row r="25" spans="1:18" ht="15.75" customHeight="1" x14ac:dyDescent="0.15">
      <c r="A25" s="2">
        <v>45376</v>
      </c>
      <c r="B25" s="17" t="s">
        <v>54</v>
      </c>
      <c r="C25" s="1"/>
      <c r="D25" s="1"/>
      <c r="E25" s="1"/>
      <c r="F25" s="1"/>
      <c r="G25" s="1"/>
      <c r="H25" s="1"/>
      <c r="I25" s="1"/>
      <c r="J25" s="1"/>
      <c r="K25" s="2">
        <v>45376</v>
      </c>
      <c r="L25" s="17" t="s">
        <v>54</v>
      </c>
    </row>
    <row r="26" spans="1:18" ht="15.75" customHeight="1" x14ac:dyDescent="0.15">
      <c r="A26" s="2">
        <v>45383</v>
      </c>
      <c r="B26" s="17" t="s">
        <v>55</v>
      </c>
      <c r="C26" s="1"/>
      <c r="D26" s="1"/>
      <c r="E26" s="1"/>
      <c r="F26" s="1"/>
      <c r="G26" s="1"/>
      <c r="H26" s="1"/>
      <c r="I26" s="1"/>
      <c r="J26" s="1"/>
      <c r="K26" s="2">
        <v>45383</v>
      </c>
      <c r="L26" s="17" t="s">
        <v>55</v>
      </c>
    </row>
    <row r="27" spans="1:18" ht="15.75" customHeight="1" x14ac:dyDescent="0.15">
      <c r="A27" s="2">
        <v>45390</v>
      </c>
      <c r="B27" s="17" t="s">
        <v>56</v>
      </c>
      <c r="C27" s="1"/>
      <c r="D27" s="1"/>
      <c r="E27" s="1"/>
      <c r="F27" s="1"/>
      <c r="G27" s="1"/>
      <c r="H27" s="1"/>
      <c r="I27" s="1"/>
      <c r="J27" s="1"/>
      <c r="K27" s="2">
        <v>45390</v>
      </c>
      <c r="L27" s="17" t="s">
        <v>56</v>
      </c>
    </row>
    <row r="28" spans="1:18" ht="15.75" customHeight="1" x14ac:dyDescent="0.15">
      <c r="A28" s="2">
        <v>45397</v>
      </c>
      <c r="B28" s="17" t="s">
        <v>57</v>
      </c>
      <c r="C28" s="1"/>
      <c r="D28" s="1"/>
      <c r="E28" s="1"/>
      <c r="F28" s="1"/>
      <c r="G28" s="1"/>
      <c r="H28" s="1"/>
      <c r="I28" s="1"/>
      <c r="J28" s="1"/>
      <c r="K28" s="2">
        <v>45397</v>
      </c>
      <c r="L28" s="17" t="s">
        <v>57</v>
      </c>
    </row>
    <row r="29" spans="1:18" ht="15.75" customHeight="1" x14ac:dyDescent="0.15">
      <c r="A29" s="2">
        <v>45404</v>
      </c>
      <c r="B29" s="17" t="s">
        <v>58</v>
      </c>
      <c r="C29" s="1"/>
      <c r="D29" s="1"/>
      <c r="E29" s="1"/>
      <c r="F29" s="1"/>
      <c r="G29" s="1"/>
      <c r="H29" s="1"/>
      <c r="I29" s="1"/>
      <c r="J29" s="1"/>
      <c r="K29" s="2">
        <v>45404</v>
      </c>
      <c r="L29" s="17" t="s">
        <v>58</v>
      </c>
    </row>
    <row r="30" spans="1:18" ht="15.75" customHeight="1" x14ac:dyDescent="0.15">
      <c r="A30" s="2">
        <v>45411</v>
      </c>
      <c r="B30" s="17" t="s">
        <v>59</v>
      </c>
      <c r="C30" s="1"/>
      <c r="D30" s="1"/>
      <c r="E30" s="1"/>
      <c r="F30" s="1"/>
      <c r="G30" s="1"/>
      <c r="H30" s="18">
        <v>300</v>
      </c>
      <c r="I30" s="1"/>
      <c r="J30" s="1"/>
      <c r="K30" s="2">
        <v>45411</v>
      </c>
      <c r="L30" s="17" t="s">
        <v>59</v>
      </c>
      <c r="R30" s="6">
        <v>150</v>
      </c>
    </row>
    <row r="31" spans="1:18" ht="15.75" customHeight="1" x14ac:dyDescent="0.15">
      <c r="A31" s="2">
        <v>45418</v>
      </c>
      <c r="B31" s="17" t="s">
        <v>60</v>
      </c>
      <c r="C31" s="1"/>
      <c r="D31" s="1"/>
      <c r="E31" s="1"/>
      <c r="F31" s="1"/>
      <c r="G31" s="1"/>
      <c r="I31" s="1"/>
      <c r="J31" s="1"/>
      <c r="K31" s="2">
        <v>45418</v>
      </c>
      <c r="L31" s="17" t="s">
        <v>60</v>
      </c>
    </row>
    <row r="32" spans="1:18" ht="15.75" customHeight="1" x14ac:dyDescent="0.15">
      <c r="A32" s="2">
        <v>45425</v>
      </c>
      <c r="B32" s="17" t="s">
        <v>61</v>
      </c>
      <c r="C32" s="1"/>
      <c r="D32" s="1"/>
      <c r="E32" s="1"/>
      <c r="F32" s="1"/>
      <c r="G32" s="1"/>
      <c r="H32" s="1"/>
      <c r="I32" s="1"/>
      <c r="J32" s="1"/>
      <c r="K32" s="2">
        <v>45425</v>
      </c>
      <c r="L32" s="17" t="s">
        <v>61</v>
      </c>
    </row>
    <row r="33" spans="1:18" ht="15.75" customHeight="1" x14ac:dyDescent="0.15">
      <c r="A33" s="2">
        <v>45432</v>
      </c>
      <c r="B33" s="17" t="s">
        <v>62</v>
      </c>
      <c r="C33" s="1"/>
      <c r="D33" s="1"/>
      <c r="E33" s="1"/>
      <c r="F33" s="1"/>
      <c r="G33" s="1"/>
      <c r="H33" s="1"/>
      <c r="I33" s="1"/>
      <c r="J33" s="1"/>
      <c r="K33" s="2">
        <v>45432</v>
      </c>
      <c r="L33" s="17" t="s">
        <v>62</v>
      </c>
    </row>
    <row r="34" spans="1:18" x14ac:dyDescent="0.15">
      <c r="A34" s="2">
        <v>45439</v>
      </c>
      <c r="B34" s="17" t="s">
        <v>63</v>
      </c>
      <c r="C34" s="1"/>
      <c r="D34" s="1"/>
      <c r="E34" s="1"/>
      <c r="F34" s="1"/>
      <c r="G34" s="1"/>
      <c r="H34" s="1"/>
      <c r="I34" s="1"/>
      <c r="J34" s="1"/>
      <c r="K34" s="2">
        <v>45439</v>
      </c>
      <c r="L34" s="17" t="s">
        <v>63</v>
      </c>
    </row>
    <row r="35" spans="1:18" ht="15.75" customHeight="1" x14ac:dyDescent="0.15">
      <c r="A35" s="2">
        <v>45446</v>
      </c>
      <c r="B35" s="17" t="s">
        <v>64</v>
      </c>
      <c r="C35" s="1"/>
      <c r="D35" s="1"/>
      <c r="E35" s="1"/>
      <c r="F35" s="1"/>
      <c r="G35" s="1"/>
      <c r="H35" s="1"/>
      <c r="I35" s="1"/>
      <c r="J35" s="1"/>
      <c r="K35" s="2">
        <v>45446</v>
      </c>
      <c r="L35" s="17" t="s">
        <v>64</v>
      </c>
    </row>
    <row r="36" spans="1:18" ht="15.75" customHeight="1" x14ac:dyDescent="0.15">
      <c r="A36" s="2">
        <v>45453</v>
      </c>
      <c r="B36" s="17" t="s">
        <v>65</v>
      </c>
      <c r="C36" s="1"/>
      <c r="D36" s="1"/>
      <c r="E36" s="1"/>
      <c r="F36" s="1"/>
      <c r="G36" s="1"/>
      <c r="H36" s="1"/>
      <c r="I36" s="1"/>
      <c r="J36" s="1"/>
      <c r="K36" s="2">
        <v>45453</v>
      </c>
      <c r="L36" s="17" t="s">
        <v>65</v>
      </c>
    </row>
    <row r="37" spans="1:18" ht="15.75" customHeight="1" x14ac:dyDescent="0.15">
      <c r="A37" s="2">
        <v>45460</v>
      </c>
      <c r="B37" s="17" t="s">
        <v>66</v>
      </c>
      <c r="C37" s="1"/>
      <c r="D37" s="1"/>
      <c r="E37" s="1"/>
      <c r="F37" s="1"/>
      <c r="G37" s="1"/>
      <c r="H37" s="1"/>
      <c r="I37" s="1"/>
      <c r="J37" s="1"/>
      <c r="K37" s="2">
        <v>45460</v>
      </c>
      <c r="L37" s="17" t="s">
        <v>66</v>
      </c>
    </row>
    <row r="38" spans="1:18" ht="15.75" customHeight="1" x14ac:dyDescent="0.15">
      <c r="A38" s="2">
        <v>45467</v>
      </c>
      <c r="B38" s="17" t="s">
        <v>67</v>
      </c>
      <c r="C38" s="1"/>
      <c r="D38" s="1"/>
      <c r="E38" s="1"/>
      <c r="F38" s="1"/>
      <c r="G38" s="1"/>
      <c r="H38" s="1"/>
      <c r="I38" s="1"/>
      <c r="J38" s="1"/>
      <c r="K38" s="2">
        <v>45467</v>
      </c>
      <c r="L38" s="17" t="s">
        <v>67</v>
      </c>
    </row>
    <row r="39" spans="1:18" ht="15.75" customHeight="1" x14ac:dyDescent="0.15">
      <c r="A39" s="2">
        <v>45474</v>
      </c>
      <c r="B39" s="17" t="s">
        <v>68</v>
      </c>
      <c r="C39" s="1"/>
      <c r="D39" s="19"/>
      <c r="E39" s="19"/>
      <c r="F39" s="19"/>
      <c r="G39" s="19"/>
      <c r="H39" s="19"/>
      <c r="I39" s="19">
        <v>1500</v>
      </c>
      <c r="J39" s="1"/>
      <c r="K39" s="2">
        <v>45474</v>
      </c>
      <c r="L39" s="17" t="s">
        <v>68</v>
      </c>
      <c r="Q39" s="20">
        <v>300</v>
      </c>
      <c r="R39" s="20">
        <v>200</v>
      </c>
    </row>
    <row r="40" spans="1:18" ht="15.75" customHeight="1" x14ac:dyDescent="0.15">
      <c r="A40" s="2">
        <v>45481</v>
      </c>
      <c r="B40" s="17" t="s">
        <v>69</v>
      </c>
      <c r="C40" s="18"/>
      <c r="D40" s="18"/>
      <c r="E40" s="18">
        <v>450</v>
      </c>
      <c r="F40" s="1"/>
      <c r="G40" s="1"/>
      <c r="H40" s="1"/>
      <c r="I40" s="1"/>
      <c r="J40" s="1"/>
      <c r="K40" s="2">
        <v>45481</v>
      </c>
      <c r="L40" s="17" t="s">
        <v>69</v>
      </c>
    </row>
    <row r="41" spans="1:18" ht="15.75" customHeight="1" x14ac:dyDescent="0.15">
      <c r="A41" s="2">
        <v>45488</v>
      </c>
      <c r="B41" s="17" t="s">
        <v>70</v>
      </c>
      <c r="C41" s="1"/>
      <c r="D41" s="1"/>
      <c r="E41" s="1"/>
      <c r="F41" s="1"/>
      <c r="G41" s="1"/>
      <c r="H41" s="1"/>
      <c r="I41" s="1"/>
      <c r="J41" s="1"/>
      <c r="K41" s="2">
        <v>45488</v>
      </c>
      <c r="L41" s="17" t="s">
        <v>70</v>
      </c>
    </row>
    <row r="42" spans="1:18" ht="15.75" customHeight="1" x14ac:dyDescent="0.15">
      <c r="A42" s="2">
        <v>45495</v>
      </c>
      <c r="B42" s="17" t="s">
        <v>71</v>
      </c>
      <c r="C42" s="1"/>
      <c r="D42" s="1"/>
      <c r="E42" s="1"/>
      <c r="F42" s="1"/>
      <c r="G42" s="1"/>
      <c r="H42" s="1"/>
      <c r="I42" s="1"/>
      <c r="J42" s="1"/>
      <c r="K42" s="2">
        <v>45495</v>
      </c>
      <c r="L42" s="17" t="s">
        <v>71</v>
      </c>
    </row>
    <row r="43" spans="1:18" ht="15.75" customHeight="1" x14ac:dyDescent="0.15">
      <c r="A43" s="2">
        <v>45502</v>
      </c>
      <c r="B43" s="17" t="s">
        <v>72</v>
      </c>
      <c r="C43" s="1"/>
      <c r="D43" s="1"/>
      <c r="E43" s="1"/>
      <c r="F43" s="1"/>
      <c r="G43" s="1"/>
      <c r="H43" s="1"/>
      <c r="I43" s="1"/>
      <c r="J43" s="1"/>
      <c r="K43" s="2">
        <v>45502</v>
      </c>
      <c r="L43" s="17" t="s">
        <v>72</v>
      </c>
    </row>
    <row r="44" spans="1:18" ht="15.75" customHeight="1" x14ac:dyDescent="0.15">
      <c r="A44" s="2">
        <v>45509</v>
      </c>
      <c r="B44" s="17" t="s">
        <v>73</v>
      </c>
      <c r="C44" s="1"/>
      <c r="D44" s="1"/>
      <c r="E44" s="1"/>
      <c r="F44" s="1"/>
      <c r="G44" s="1"/>
      <c r="H44" s="1"/>
      <c r="I44" s="1"/>
      <c r="J44" s="1"/>
      <c r="K44" s="2">
        <v>45509</v>
      </c>
      <c r="L44" s="17" t="s">
        <v>73</v>
      </c>
    </row>
    <row r="45" spans="1:18" ht="15.75" customHeight="1" x14ac:dyDescent="0.15">
      <c r="A45" s="2">
        <v>45516</v>
      </c>
      <c r="B45" s="17" t="s">
        <v>74</v>
      </c>
      <c r="C45" s="1"/>
      <c r="D45" s="1"/>
      <c r="E45" s="1"/>
      <c r="F45" s="1"/>
      <c r="G45" s="1"/>
      <c r="H45" s="1"/>
      <c r="I45" s="1"/>
      <c r="J45" s="1"/>
      <c r="K45" s="2">
        <v>45516</v>
      </c>
      <c r="L45" s="17" t="s">
        <v>74</v>
      </c>
    </row>
    <row r="46" spans="1:18" ht="15.75" customHeight="1" x14ac:dyDescent="0.15">
      <c r="A46" s="2">
        <v>45523</v>
      </c>
      <c r="B46" s="17" t="s">
        <v>75</v>
      </c>
      <c r="C46" s="1"/>
      <c r="D46" s="1"/>
      <c r="E46" s="1"/>
      <c r="F46" s="1"/>
      <c r="G46" s="1"/>
      <c r="H46" s="1"/>
      <c r="I46" s="1"/>
      <c r="J46" s="1"/>
      <c r="K46" s="2">
        <v>45523</v>
      </c>
      <c r="L46" s="17" t="s">
        <v>75</v>
      </c>
    </row>
    <row r="47" spans="1:18" ht="15.75" customHeight="1" x14ac:dyDescent="0.15">
      <c r="A47" s="2">
        <v>45530</v>
      </c>
      <c r="B47" s="17" t="s">
        <v>76</v>
      </c>
      <c r="C47" s="1"/>
      <c r="D47" s="1"/>
      <c r="E47" s="1"/>
      <c r="F47" s="1"/>
      <c r="G47" s="1"/>
      <c r="H47" s="1"/>
      <c r="I47" s="1"/>
      <c r="J47" s="1"/>
      <c r="K47" s="2">
        <v>45530</v>
      </c>
      <c r="L47" s="17" t="s">
        <v>76</v>
      </c>
    </row>
    <row r="48" spans="1:18" ht="15.75" customHeight="1" x14ac:dyDescent="0.15">
      <c r="A48" s="2">
        <v>45537</v>
      </c>
      <c r="B48" s="17" t="s">
        <v>77</v>
      </c>
      <c r="C48" s="1"/>
      <c r="D48" s="1"/>
      <c r="E48" s="1"/>
      <c r="F48" s="1"/>
      <c r="G48" s="1"/>
      <c r="H48" s="1"/>
      <c r="I48" s="1"/>
      <c r="J48" s="1"/>
      <c r="K48" s="2">
        <v>45537</v>
      </c>
      <c r="L48" s="17" t="s">
        <v>77</v>
      </c>
    </row>
    <row r="49" spans="1:12" ht="15.75" customHeight="1" x14ac:dyDescent="0.15">
      <c r="A49" s="2">
        <v>45544</v>
      </c>
      <c r="B49" s="17" t="s">
        <v>78</v>
      </c>
      <c r="C49" s="1"/>
      <c r="D49" s="1"/>
      <c r="E49" s="1"/>
      <c r="F49" s="1"/>
      <c r="G49" s="1"/>
      <c r="H49" s="1"/>
      <c r="I49" s="1"/>
      <c r="J49" s="1"/>
      <c r="K49" s="2">
        <v>45544</v>
      </c>
      <c r="L49" s="17" t="s">
        <v>78</v>
      </c>
    </row>
    <row r="50" spans="1:12" ht="15.75" customHeight="1" x14ac:dyDescent="0.15">
      <c r="A50" s="2">
        <v>45551</v>
      </c>
      <c r="B50" s="17" t="s">
        <v>79</v>
      </c>
      <c r="C50" s="1"/>
      <c r="D50" s="1"/>
      <c r="E50" s="1"/>
      <c r="F50" s="1"/>
      <c r="G50" s="1"/>
      <c r="H50" s="1"/>
      <c r="I50" s="1"/>
      <c r="J50" s="1"/>
      <c r="K50" s="2">
        <v>45551</v>
      </c>
      <c r="L50" s="17" t="s">
        <v>79</v>
      </c>
    </row>
    <row r="51" spans="1:12" ht="15.75" customHeight="1" x14ac:dyDescent="0.15">
      <c r="A51" s="2">
        <v>45558</v>
      </c>
      <c r="B51" s="17" t="s">
        <v>80</v>
      </c>
      <c r="C51" s="1"/>
      <c r="D51" s="1"/>
      <c r="E51" s="1"/>
      <c r="F51" s="1"/>
      <c r="G51" s="1"/>
      <c r="H51" s="1"/>
      <c r="I51" s="1"/>
      <c r="J51" s="1"/>
      <c r="K51" s="2">
        <v>45558</v>
      </c>
      <c r="L51" s="17" t="s">
        <v>80</v>
      </c>
    </row>
    <row r="52" spans="1:12" ht="15.75" customHeight="1" x14ac:dyDescent="0.15">
      <c r="A52" s="2">
        <v>45565</v>
      </c>
      <c r="B52" s="17" t="s">
        <v>81</v>
      </c>
      <c r="C52" s="1"/>
      <c r="D52" s="1"/>
      <c r="E52" s="1"/>
      <c r="F52" s="1"/>
      <c r="G52" s="1"/>
      <c r="H52" s="1"/>
      <c r="I52" s="1"/>
      <c r="J52" s="1"/>
      <c r="K52" s="2">
        <v>45565</v>
      </c>
      <c r="L52" s="17" t="s">
        <v>81</v>
      </c>
    </row>
    <row r="53" spans="1:12" ht="15.75" customHeight="1" x14ac:dyDescent="0.15">
      <c r="A53" s="2">
        <v>45572</v>
      </c>
      <c r="B53" s="17" t="s">
        <v>82</v>
      </c>
      <c r="C53" s="1"/>
      <c r="D53" s="1"/>
      <c r="E53" s="1"/>
      <c r="F53" s="1"/>
      <c r="G53" s="1"/>
      <c r="H53" s="1"/>
      <c r="I53" s="1"/>
      <c r="J53" s="1"/>
      <c r="K53" s="2">
        <v>45572</v>
      </c>
      <c r="L53" s="17" t="s">
        <v>82</v>
      </c>
    </row>
    <row r="54" spans="1:12" ht="15.75" customHeight="1" x14ac:dyDescent="0.15">
      <c r="A54" s="2">
        <v>45579</v>
      </c>
      <c r="B54" s="17" t="s">
        <v>83</v>
      </c>
      <c r="C54" s="1"/>
      <c r="D54" s="1"/>
      <c r="E54" s="1"/>
      <c r="F54" s="1"/>
      <c r="G54" s="1"/>
      <c r="H54" s="1"/>
      <c r="I54" s="1"/>
      <c r="J54" s="1"/>
      <c r="K54" s="2">
        <v>45579</v>
      </c>
      <c r="L54" s="17" t="s">
        <v>83</v>
      </c>
    </row>
    <row r="55" spans="1:12" ht="15.75" customHeight="1" x14ac:dyDescent="0.15">
      <c r="A55" s="2">
        <v>45586</v>
      </c>
      <c r="B55" s="17" t="s">
        <v>37</v>
      </c>
      <c r="C55" s="1"/>
      <c r="D55" s="1"/>
      <c r="E55" s="1"/>
      <c r="F55" s="1"/>
      <c r="G55" s="1"/>
      <c r="H55" s="1"/>
      <c r="I55" s="1"/>
      <c r="J55" s="1"/>
      <c r="K55" s="2">
        <v>45586</v>
      </c>
      <c r="L55" s="17" t="s">
        <v>37</v>
      </c>
    </row>
    <row r="56" spans="1:12" ht="15.75" customHeight="1" x14ac:dyDescent="0.15">
      <c r="A56" s="2">
        <v>45593</v>
      </c>
      <c r="B56" s="17" t="s">
        <v>38</v>
      </c>
      <c r="C56" s="1"/>
      <c r="D56" s="1"/>
      <c r="E56" s="1"/>
      <c r="F56" s="1"/>
      <c r="G56" s="1"/>
      <c r="H56" s="1"/>
      <c r="I56" s="1"/>
      <c r="J56" s="1"/>
      <c r="K56" s="2">
        <v>45593</v>
      </c>
      <c r="L56" s="17" t="s">
        <v>38</v>
      </c>
    </row>
    <row r="57" spans="1:12" ht="15.75" customHeight="1" x14ac:dyDescent="0.15">
      <c r="A57" s="2">
        <v>45600</v>
      </c>
      <c r="B57" s="17" t="s">
        <v>39</v>
      </c>
      <c r="C57" s="1"/>
      <c r="D57" s="1"/>
      <c r="E57" s="1"/>
      <c r="F57" s="1"/>
      <c r="G57" s="1"/>
      <c r="H57" s="1"/>
      <c r="I57" s="1"/>
      <c r="J57" s="1"/>
      <c r="K57" s="2">
        <v>45600</v>
      </c>
      <c r="L57" s="17" t="s">
        <v>39</v>
      </c>
    </row>
    <row r="58" spans="1:12" ht="15.75" customHeight="1" x14ac:dyDescent="0.15">
      <c r="A58" s="2">
        <v>45607</v>
      </c>
      <c r="B58" s="17" t="s">
        <v>40</v>
      </c>
      <c r="C58" s="1"/>
      <c r="D58" s="1"/>
      <c r="E58" s="1"/>
      <c r="F58" s="1"/>
      <c r="G58" s="1"/>
      <c r="H58" s="1"/>
      <c r="I58" s="1"/>
      <c r="J58" s="1"/>
      <c r="K58" s="2">
        <v>45607</v>
      </c>
      <c r="L58" s="17" t="s">
        <v>40</v>
      </c>
    </row>
    <row r="59" spans="1:12" ht="15.75" customHeight="1" x14ac:dyDescent="0.15">
      <c r="A59" s="2">
        <v>45614</v>
      </c>
      <c r="B59" s="17" t="s">
        <v>41</v>
      </c>
      <c r="C59" s="1"/>
      <c r="D59" s="1"/>
      <c r="E59" s="1"/>
      <c r="F59" s="1"/>
      <c r="G59" s="1"/>
      <c r="H59" s="1"/>
      <c r="I59" s="1"/>
      <c r="J59" s="1"/>
      <c r="K59" s="2">
        <v>45614</v>
      </c>
      <c r="L59" s="17" t="s">
        <v>41</v>
      </c>
    </row>
    <row r="60" spans="1:12" ht="15.75" customHeight="1" x14ac:dyDescent="0.15">
      <c r="A60" s="2">
        <v>45621</v>
      </c>
      <c r="B60" s="17" t="s">
        <v>42</v>
      </c>
      <c r="C60" s="1"/>
      <c r="D60" s="1"/>
      <c r="E60" s="1"/>
      <c r="F60" s="1"/>
      <c r="G60" s="1"/>
      <c r="H60" s="1"/>
      <c r="I60" s="1"/>
      <c r="J60" s="1"/>
      <c r="K60" s="2">
        <v>45621</v>
      </c>
      <c r="L60" s="17" t="s">
        <v>42</v>
      </c>
    </row>
    <row r="61" spans="1:12" ht="15.75" customHeight="1" x14ac:dyDescent="0.15">
      <c r="A61" s="2">
        <v>45628</v>
      </c>
      <c r="B61" s="17" t="s">
        <v>43</v>
      </c>
      <c r="C61" s="1"/>
      <c r="D61" s="1"/>
      <c r="E61" s="1"/>
      <c r="F61" s="1"/>
      <c r="G61" s="1"/>
      <c r="H61" s="1"/>
      <c r="I61" s="1"/>
      <c r="J61" s="1"/>
      <c r="K61" s="2">
        <v>45628</v>
      </c>
      <c r="L61" s="17" t="s">
        <v>43</v>
      </c>
    </row>
    <row r="62" spans="1:12" ht="15.75" customHeight="1" x14ac:dyDescent="0.15">
      <c r="A62" s="2">
        <v>45635</v>
      </c>
      <c r="B62" s="17" t="s">
        <v>44</v>
      </c>
      <c r="C62" s="1"/>
      <c r="D62" s="1"/>
      <c r="E62" s="1"/>
      <c r="F62" s="1"/>
      <c r="G62" s="1"/>
      <c r="H62" s="1"/>
      <c r="I62" s="1"/>
      <c r="J62" s="1"/>
      <c r="K62" s="2">
        <v>45635</v>
      </c>
      <c r="L62" s="17" t="s">
        <v>44</v>
      </c>
    </row>
    <row r="63" spans="1:12" ht="15.75" customHeight="1" x14ac:dyDescent="0.15">
      <c r="A63" s="2">
        <v>45642</v>
      </c>
      <c r="B63" s="17" t="s">
        <v>45</v>
      </c>
      <c r="C63" s="1"/>
      <c r="D63" s="1"/>
      <c r="E63" s="1"/>
      <c r="F63" s="1"/>
      <c r="G63" s="1"/>
      <c r="H63" s="1"/>
      <c r="I63" s="1"/>
      <c r="J63" s="1"/>
      <c r="K63" s="2">
        <v>45642</v>
      </c>
      <c r="L63" s="17" t="s">
        <v>45</v>
      </c>
    </row>
    <row r="64" spans="1:12" ht="15.75" customHeight="1" x14ac:dyDescent="0.15">
      <c r="A64" s="2">
        <v>45649</v>
      </c>
      <c r="B64" s="17" t="s">
        <v>46</v>
      </c>
      <c r="C64" s="1"/>
      <c r="D64" s="1"/>
      <c r="E64" s="1"/>
      <c r="F64" s="1"/>
      <c r="G64" s="1"/>
      <c r="H64" s="1"/>
      <c r="I64" s="1"/>
      <c r="J64" s="1"/>
      <c r="K64" s="2">
        <v>45649</v>
      </c>
      <c r="L64" s="17" t="s">
        <v>46</v>
      </c>
    </row>
    <row r="65" spans="1:1" ht="15.75" customHeight="1" x14ac:dyDescent="0.15">
      <c r="A6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65"/>
  <sheetViews>
    <sheetView zoomScale="67" workbookViewId="0">
      <selection activeCell="N30" sqref="N30"/>
    </sheetView>
  </sheetViews>
  <sheetFormatPr baseColWidth="10" defaultColWidth="12.6640625" defaultRowHeight="15.75" customHeight="1" x14ac:dyDescent="0.15"/>
  <cols>
    <col min="1" max="1" width="12.6640625" customWidth="1"/>
    <col min="11" max="11" width="11.83203125" bestFit="1" customWidth="1"/>
    <col min="12" max="12" width="6.83203125" bestFit="1" customWidth="1"/>
    <col min="13" max="13" width="10.33203125" customWidth="1"/>
    <col min="15" max="15" width="10.6640625" customWidth="1"/>
    <col min="17" max="17" width="10.1640625" customWidth="1"/>
    <col min="19" max="19" width="11.6640625" customWidth="1"/>
    <col min="21" max="21" width="11.83203125" bestFit="1" customWidth="1"/>
    <col min="23" max="23" width="7.83203125" customWidth="1"/>
  </cols>
  <sheetData>
    <row r="1" spans="1:39" ht="15.75" customHeight="1" x14ac:dyDescent="0.15">
      <c r="A1" s="1"/>
    </row>
    <row r="2" spans="1:39" ht="15.75" customHeight="1" x14ac:dyDescent="0.15">
      <c r="A2" s="2"/>
      <c r="B2" s="1"/>
      <c r="C2" s="1"/>
      <c r="D2" s="1"/>
      <c r="E2" s="2"/>
      <c r="F2" s="9" t="s">
        <v>84</v>
      </c>
      <c r="G2" s="10" t="s">
        <v>85</v>
      </c>
      <c r="H2" s="10" t="s">
        <v>86</v>
      </c>
      <c r="I2" s="10" t="s">
        <v>87</v>
      </c>
    </row>
    <row r="3" spans="1:39" ht="15.75" customHeight="1" x14ac:dyDescent="0.15">
      <c r="A3" s="1"/>
      <c r="D3" s="1"/>
      <c r="E3" s="1"/>
      <c r="F3" s="11"/>
      <c r="G3" s="12">
        <v>2022</v>
      </c>
      <c r="H3" s="12">
        <v>1950</v>
      </c>
      <c r="I3" s="12">
        <f>H3</f>
        <v>1950</v>
      </c>
    </row>
    <row r="4" spans="1:39" ht="15.75" customHeight="1" x14ac:dyDescent="0.15">
      <c r="A4" s="1"/>
      <c r="B4" s="1"/>
      <c r="C4" s="1"/>
      <c r="D4" s="1"/>
      <c r="E4" s="1"/>
      <c r="F4" s="11"/>
      <c r="G4" s="12">
        <v>2023</v>
      </c>
      <c r="H4" s="11">
        <f>SUM(C13:I64)+SUM(M13:S64)+SUM(W13:AC64)+SUM(AG13:AM64)</f>
        <v>3900</v>
      </c>
      <c r="I4" s="12">
        <f>I3+H4</f>
        <v>5850</v>
      </c>
    </row>
    <row r="6" spans="1:39" ht="15.75" customHeight="1" x14ac:dyDescent="0.15">
      <c r="B6" s="3"/>
      <c r="C6" s="1" t="s">
        <v>11</v>
      </c>
    </row>
    <row r="7" spans="1:39" ht="15.75" customHeight="1" x14ac:dyDescent="0.15">
      <c r="B7" s="4"/>
      <c r="C7" s="1" t="s">
        <v>13</v>
      </c>
    </row>
    <row r="8" spans="1:39" ht="15.75" customHeight="1" x14ac:dyDescent="0.15">
      <c r="B8" s="5"/>
      <c r="C8" s="1" t="s">
        <v>15</v>
      </c>
    </row>
    <row r="9" spans="1:39" ht="15.75" customHeight="1" x14ac:dyDescent="0.15">
      <c r="B9" s="6"/>
      <c r="C9" s="1" t="s">
        <v>17</v>
      </c>
    </row>
    <row r="12" spans="1:39" s="8" customFormat="1" ht="13" x14ac:dyDescent="0.15">
      <c r="A12" s="13" t="s">
        <v>0</v>
      </c>
      <c r="B12" s="16" t="s">
        <v>51</v>
      </c>
      <c r="C12" s="14" t="s">
        <v>12</v>
      </c>
      <c r="D12" s="14" t="s">
        <v>14</v>
      </c>
      <c r="E12" s="15" t="s">
        <v>16</v>
      </c>
      <c r="F12" s="15" t="s">
        <v>18</v>
      </c>
      <c r="G12" s="15" t="s">
        <v>19</v>
      </c>
      <c r="H12" s="15" t="s">
        <v>20</v>
      </c>
      <c r="I12" s="15" t="s">
        <v>22</v>
      </c>
      <c r="K12" s="13" t="s">
        <v>23</v>
      </c>
      <c r="L12" s="16" t="s">
        <v>51</v>
      </c>
      <c r="M12" s="14" t="s">
        <v>12</v>
      </c>
      <c r="N12" s="14" t="s">
        <v>14</v>
      </c>
      <c r="O12" s="15" t="s">
        <v>16</v>
      </c>
      <c r="P12" s="15" t="s">
        <v>18</v>
      </c>
      <c r="Q12" s="15" t="s">
        <v>19</v>
      </c>
      <c r="R12" s="15" t="s">
        <v>20</v>
      </c>
      <c r="S12" s="15" t="s">
        <v>22</v>
      </c>
      <c r="U12" s="13" t="s">
        <v>24</v>
      </c>
      <c r="V12" s="16" t="s">
        <v>51</v>
      </c>
      <c r="W12" s="14" t="s">
        <v>12</v>
      </c>
      <c r="X12" s="14" t="s">
        <v>14</v>
      </c>
      <c r="Y12" s="15" t="s">
        <v>16</v>
      </c>
      <c r="Z12" s="15" t="s">
        <v>18</v>
      </c>
      <c r="AA12" s="15" t="s">
        <v>19</v>
      </c>
      <c r="AB12" s="15" t="s">
        <v>20</v>
      </c>
      <c r="AC12" s="15" t="s">
        <v>22</v>
      </c>
      <c r="AE12" s="13" t="s">
        <v>25</v>
      </c>
      <c r="AF12" s="16" t="s">
        <v>51</v>
      </c>
      <c r="AG12" s="14" t="s">
        <v>12</v>
      </c>
      <c r="AH12" s="14" t="s">
        <v>14</v>
      </c>
      <c r="AI12" s="15" t="s">
        <v>16</v>
      </c>
      <c r="AJ12" s="15" t="s">
        <v>18</v>
      </c>
      <c r="AK12" s="15" t="s">
        <v>19</v>
      </c>
      <c r="AL12" s="15" t="s">
        <v>20</v>
      </c>
      <c r="AM12" s="15" t="s">
        <v>22</v>
      </c>
    </row>
    <row r="13" spans="1:39" ht="15.75" customHeight="1" x14ac:dyDescent="0.15">
      <c r="A13" s="2">
        <v>44928</v>
      </c>
      <c r="B13" s="17" t="s">
        <v>1</v>
      </c>
      <c r="C13" s="1"/>
      <c r="D13" s="1"/>
      <c r="E13" s="1"/>
      <c r="F13" s="1"/>
      <c r="G13" s="1"/>
      <c r="H13" s="1"/>
      <c r="I13" s="1"/>
      <c r="K13" s="2">
        <v>44928</v>
      </c>
      <c r="L13" s="17" t="s">
        <v>1</v>
      </c>
      <c r="U13" s="2">
        <v>44928</v>
      </c>
      <c r="V13" s="17" t="s">
        <v>1</v>
      </c>
      <c r="AE13" s="2">
        <v>44928</v>
      </c>
      <c r="AF13" s="17" t="s">
        <v>1</v>
      </c>
    </row>
    <row r="14" spans="1:39" ht="15.75" customHeight="1" x14ac:dyDescent="0.15">
      <c r="A14" s="2">
        <v>44935</v>
      </c>
      <c r="B14" s="17" t="s">
        <v>2</v>
      </c>
      <c r="C14" s="1"/>
      <c r="D14" s="1"/>
      <c r="E14" s="1"/>
      <c r="F14" s="1"/>
      <c r="G14" s="1"/>
      <c r="H14" s="1"/>
      <c r="I14" s="1"/>
      <c r="K14" s="2">
        <v>44935</v>
      </c>
      <c r="L14" s="17" t="s">
        <v>2</v>
      </c>
      <c r="U14" s="2">
        <v>44935</v>
      </c>
      <c r="V14" s="17" t="s">
        <v>2</v>
      </c>
      <c r="AE14" s="2">
        <v>44935</v>
      </c>
      <c r="AF14" s="17" t="s">
        <v>2</v>
      </c>
    </row>
    <row r="15" spans="1:39" ht="15.75" customHeight="1" x14ac:dyDescent="0.15">
      <c r="A15" s="2">
        <v>44942</v>
      </c>
      <c r="B15" s="17" t="s">
        <v>3</v>
      </c>
      <c r="C15" s="1"/>
      <c r="D15" s="1"/>
      <c r="E15" s="1"/>
      <c r="F15" s="1"/>
      <c r="G15" s="1"/>
      <c r="H15" s="1"/>
      <c r="I15" s="1"/>
      <c r="K15" s="2">
        <v>44942</v>
      </c>
      <c r="L15" s="17" t="s">
        <v>3</v>
      </c>
      <c r="U15" s="2">
        <v>44942</v>
      </c>
      <c r="V15" s="17" t="s">
        <v>3</v>
      </c>
      <c r="AE15" s="2">
        <v>44942</v>
      </c>
      <c r="AF15" s="17" t="s">
        <v>3</v>
      </c>
    </row>
    <row r="16" spans="1:39" ht="15.75" customHeight="1" x14ac:dyDescent="0.15">
      <c r="A16" s="2">
        <v>44949</v>
      </c>
      <c r="B16" s="17" t="s">
        <v>4</v>
      </c>
      <c r="C16" s="1"/>
      <c r="D16" s="1"/>
      <c r="E16" s="1"/>
      <c r="F16" s="1"/>
      <c r="G16" s="1"/>
      <c r="H16" s="1"/>
      <c r="I16" s="1"/>
      <c r="K16" s="2">
        <v>44949</v>
      </c>
      <c r="L16" s="17" t="s">
        <v>4</v>
      </c>
      <c r="U16" s="2">
        <v>44949</v>
      </c>
      <c r="V16" s="17" t="s">
        <v>4</v>
      </c>
      <c r="AE16" s="2">
        <v>44949</v>
      </c>
      <c r="AF16" s="17" t="s">
        <v>4</v>
      </c>
    </row>
    <row r="17" spans="1:32" ht="15.75" customHeight="1" x14ac:dyDescent="0.15">
      <c r="A17" s="2">
        <v>44956</v>
      </c>
      <c r="B17" s="17" t="s">
        <v>5</v>
      </c>
      <c r="C17" s="1"/>
      <c r="D17" s="1"/>
      <c r="E17" s="1"/>
      <c r="F17" s="1"/>
      <c r="G17" s="1"/>
      <c r="H17" s="6">
        <v>300</v>
      </c>
      <c r="I17" s="1"/>
      <c r="K17" s="2">
        <v>44956</v>
      </c>
      <c r="L17" s="17" t="s">
        <v>5</v>
      </c>
      <c r="U17" s="2">
        <v>44956</v>
      </c>
      <c r="V17" s="17" t="s">
        <v>5</v>
      </c>
      <c r="AE17" s="2">
        <v>44956</v>
      </c>
      <c r="AF17" s="17" t="s">
        <v>5</v>
      </c>
    </row>
    <row r="18" spans="1:32" ht="15.75" customHeight="1" x14ac:dyDescent="0.15">
      <c r="A18" s="2">
        <v>44963</v>
      </c>
      <c r="B18" s="17" t="s">
        <v>6</v>
      </c>
      <c r="C18" s="1"/>
      <c r="D18" s="1"/>
      <c r="E18" s="1"/>
      <c r="F18" s="1"/>
      <c r="G18" s="1"/>
      <c r="H18" s="1"/>
      <c r="I18" s="1"/>
      <c r="K18" s="2">
        <v>44963</v>
      </c>
      <c r="L18" s="17" t="s">
        <v>6</v>
      </c>
      <c r="U18" s="2">
        <v>44963</v>
      </c>
      <c r="V18" s="17" t="s">
        <v>6</v>
      </c>
      <c r="AE18" s="2">
        <v>44963</v>
      </c>
      <c r="AF18" s="17" t="s">
        <v>6</v>
      </c>
    </row>
    <row r="19" spans="1:32" ht="15.75" customHeight="1" x14ac:dyDescent="0.15">
      <c r="A19" s="2">
        <v>44970</v>
      </c>
      <c r="B19" s="17" t="s">
        <v>7</v>
      </c>
      <c r="C19" s="1"/>
      <c r="D19" s="1"/>
      <c r="E19" s="1"/>
      <c r="F19" s="1"/>
      <c r="G19" s="1"/>
      <c r="H19" s="1"/>
      <c r="I19" s="1"/>
      <c r="K19" s="2">
        <v>44970</v>
      </c>
      <c r="L19" s="17" t="s">
        <v>7</v>
      </c>
      <c r="U19" s="2">
        <v>44970</v>
      </c>
      <c r="V19" s="17" t="s">
        <v>7</v>
      </c>
      <c r="AE19" s="2">
        <v>44970</v>
      </c>
      <c r="AF19" s="17" t="s">
        <v>7</v>
      </c>
    </row>
    <row r="20" spans="1:32" ht="15.75" customHeight="1" x14ac:dyDescent="0.15">
      <c r="A20" s="2">
        <v>44977</v>
      </c>
      <c r="B20" s="17" t="s">
        <v>8</v>
      </c>
      <c r="C20" s="1"/>
      <c r="D20" s="1"/>
      <c r="E20" s="1"/>
      <c r="F20" s="1"/>
      <c r="G20" s="1"/>
      <c r="H20" s="1"/>
      <c r="I20" s="1"/>
      <c r="K20" s="2">
        <v>44977</v>
      </c>
      <c r="L20" s="17" t="s">
        <v>8</v>
      </c>
      <c r="U20" s="2">
        <v>44977</v>
      </c>
      <c r="V20" s="17" t="s">
        <v>8</v>
      </c>
      <c r="AE20" s="2">
        <v>44977</v>
      </c>
      <c r="AF20" s="17" t="s">
        <v>8</v>
      </c>
    </row>
    <row r="21" spans="1:32" ht="15.75" customHeight="1" x14ac:dyDescent="0.15">
      <c r="A21" s="2">
        <v>44984</v>
      </c>
      <c r="B21" s="17" t="s">
        <v>9</v>
      </c>
      <c r="C21" s="1"/>
      <c r="D21" s="1"/>
      <c r="E21" s="1"/>
      <c r="F21" s="1"/>
      <c r="G21" s="1"/>
      <c r="H21" s="1"/>
      <c r="I21" s="1"/>
      <c r="K21" s="2">
        <v>44984</v>
      </c>
      <c r="L21" s="17" t="s">
        <v>9</v>
      </c>
      <c r="U21" s="2">
        <v>44984</v>
      </c>
      <c r="V21" s="17" t="s">
        <v>9</v>
      </c>
      <c r="AE21" s="2">
        <v>44984</v>
      </c>
      <c r="AF21" s="17" t="s">
        <v>9</v>
      </c>
    </row>
    <row r="22" spans="1:32" ht="15.75" customHeight="1" x14ac:dyDescent="0.15">
      <c r="A22" s="2">
        <v>44991</v>
      </c>
      <c r="B22" s="17" t="s">
        <v>10</v>
      </c>
      <c r="C22" s="1"/>
      <c r="D22" s="1"/>
      <c r="E22" s="1"/>
      <c r="F22" s="1"/>
      <c r="G22" s="1"/>
      <c r="H22" s="1"/>
      <c r="I22" s="1"/>
      <c r="K22" s="2">
        <v>44991</v>
      </c>
      <c r="L22" s="17" t="s">
        <v>10</v>
      </c>
      <c r="U22" s="2">
        <v>44991</v>
      </c>
      <c r="V22" s="17" t="s">
        <v>10</v>
      </c>
      <c r="AE22" s="2">
        <v>44991</v>
      </c>
      <c r="AF22" s="17" t="s">
        <v>10</v>
      </c>
    </row>
    <row r="23" spans="1:32" ht="13" x14ac:dyDescent="0.15">
      <c r="A23" s="2">
        <v>44998</v>
      </c>
      <c r="B23" s="17" t="s">
        <v>52</v>
      </c>
      <c r="K23" s="2">
        <v>44998</v>
      </c>
      <c r="L23" s="17" t="s">
        <v>52</v>
      </c>
      <c r="U23" s="2">
        <v>44998</v>
      </c>
      <c r="V23" s="17" t="s">
        <v>52</v>
      </c>
      <c r="AE23" s="2">
        <v>44998</v>
      </c>
      <c r="AF23" s="17" t="s">
        <v>52</v>
      </c>
    </row>
    <row r="24" spans="1:32" ht="15.75" customHeight="1" x14ac:dyDescent="0.15">
      <c r="A24" s="2">
        <v>45005</v>
      </c>
      <c r="B24" s="17" t="s">
        <v>53</v>
      </c>
      <c r="C24" s="2"/>
      <c r="D24" s="2"/>
      <c r="E24" s="2"/>
      <c r="F24" s="2"/>
      <c r="K24" s="2">
        <v>45005</v>
      </c>
      <c r="L24" s="17" t="s">
        <v>53</v>
      </c>
      <c r="U24" s="2">
        <v>45005</v>
      </c>
      <c r="V24" s="17" t="s">
        <v>53</v>
      </c>
      <c r="AE24" s="2">
        <v>45005</v>
      </c>
      <c r="AF24" s="17" t="s">
        <v>53</v>
      </c>
    </row>
    <row r="25" spans="1:32" ht="15.75" customHeight="1" x14ac:dyDescent="0.15">
      <c r="A25" s="2">
        <v>45012</v>
      </c>
      <c r="B25" s="17" t="s">
        <v>54</v>
      </c>
      <c r="C25" s="1"/>
      <c r="D25" s="1"/>
      <c r="E25" s="1"/>
      <c r="F25" s="1"/>
      <c r="K25" s="2">
        <v>45012</v>
      </c>
      <c r="L25" s="17" t="s">
        <v>54</v>
      </c>
      <c r="U25" s="2">
        <v>45012</v>
      </c>
      <c r="V25" s="17" t="s">
        <v>54</v>
      </c>
      <c r="AE25" s="2">
        <v>45012</v>
      </c>
      <c r="AF25" s="17" t="s">
        <v>54</v>
      </c>
    </row>
    <row r="26" spans="1:32" ht="15.75" customHeight="1" x14ac:dyDescent="0.15">
      <c r="A26" s="2">
        <v>45019</v>
      </c>
      <c r="B26" s="17" t="s">
        <v>55</v>
      </c>
      <c r="C26" s="1"/>
      <c r="D26" s="1"/>
      <c r="E26" s="1"/>
      <c r="F26" s="1"/>
      <c r="K26" s="2">
        <v>45019</v>
      </c>
      <c r="L26" s="17" t="s">
        <v>55</v>
      </c>
      <c r="U26" s="2">
        <v>45019</v>
      </c>
      <c r="V26" s="17" t="s">
        <v>55</v>
      </c>
      <c r="AE26" s="2">
        <v>45019</v>
      </c>
      <c r="AF26" s="17" t="s">
        <v>55</v>
      </c>
    </row>
    <row r="27" spans="1:32" ht="15.75" customHeight="1" x14ac:dyDescent="0.15">
      <c r="A27" s="2">
        <v>45026</v>
      </c>
      <c r="B27" s="17" t="s">
        <v>56</v>
      </c>
      <c r="C27" s="1"/>
      <c r="D27" s="1"/>
      <c r="E27" s="1"/>
      <c r="F27" s="1"/>
      <c r="K27" s="2">
        <v>45026</v>
      </c>
      <c r="L27" s="17" t="s">
        <v>56</v>
      </c>
      <c r="U27" s="2">
        <v>45026</v>
      </c>
      <c r="V27" s="17" t="s">
        <v>56</v>
      </c>
      <c r="AE27" s="2">
        <v>45026</v>
      </c>
      <c r="AF27" s="17" t="s">
        <v>56</v>
      </c>
    </row>
    <row r="28" spans="1:32" ht="15.75" customHeight="1" x14ac:dyDescent="0.15">
      <c r="A28" s="2">
        <v>45033</v>
      </c>
      <c r="B28" s="17" t="s">
        <v>57</v>
      </c>
      <c r="C28" s="1"/>
      <c r="D28" s="1"/>
      <c r="E28" s="1"/>
      <c r="F28" s="1"/>
      <c r="K28" s="2">
        <v>45033</v>
      </c>
      <c r="L28" s="17" t="s">
        <v>57</v>
      </c>
      <c r="U28" s="2">
        <v>45033</v>
      </c>
      <c r="V28" s="17" t="s">
        <v>57</v>
      </c>
      <c r="AE28" s="2">
        <v>45033</v>
      </c>
      <c r="AF28" s="17" t="s">
        <v>57</v>
      </c>
    </row>
    <row r="29" spans="1:32" ht="15.75" customHeight="1" x14ac:dyDescent="0.15">
      <c r="A29" s="2">
        <v>45040</v>
      </c>
      <c r="B29" s="17" t="s">
        <v>58</v>
      </c>
      <c r="C29" s="1"/>
      <c r="D29" s="1"/>
      <c r="E29" s="1"/>
      <c r="F29" s="1"/>
      <c r="K29" s="2">
        <v>45040</v>
      </c>
      <c r="L29" s="17" t="s">
        <v>58</v>
      </c>
      <c r="U29" s="2">
        <v>45040</v>
      </c>
      <c r="V29" s="17" t="s">
        <v>58</v>
      </c>
      <c r="AE29" s="2">
        <v>45040</v>
      </c>
      <c r="AF29" s="17" t="s">
        <v>58</v>
      </c>
    </row>
    <row r="30" spans="1:32" ht="15.75" customHeight="1" x14ac:dyDescent="0.15">
      <c r="A30" s="2">
        <v>45047</v>
      </c>
      <c r="B30" s="17" t="s">
        <v>59</v>
      </c>
      <c r="C30" s="1"/>
      <c r="D30" s="1"/>
      <c r="E30" s="1"/>
      <c r="F30" s="1"/>
      <c r="G30" s="6">
        <v>300</v>
      </c>
      <c r="K30" s="2">
        <v>45047</v>
      </c>
      <c r="L30" s="17" t="s">
        <v>59</v>
      </c>
      <c r="U30" s="2">
        <v>45047</v>
      </c>
      <c r="V30" s="17" t="s">
        <v>59</v>
      </c>
      <c r="AE30" s="2">
        <v>45047</v>
      </c>
      <c r="AF30" s="17" t="s">
        <v>59</v>
      </c>
    </row>
    <row r="31" spans="1:32" ht="15.75" customHeight="1" x14ac:dyDescent="0.15">
      <c r="A31" s="2">
        <v>45054</v>
      </c>
      <c r="B31" s="17" t="s">
        <v>60</v>
      </c>
      <c r="C31" s="1"/>
      <c r="D31" s="1"/>
      <c r="E31" s="1"/>
      <c r="F31" s="1"/>
      <c r="G31" s="1"/>
      <c r="K31" s="2">
        <v>45054</v>
      </c>
      <c r="L31" s="17" t="s">
        <v>60</v>
      </c>
      <c r="U31" s="2">
        <v>45054</v>
      </c>
      <c r="V31" s="17" t="s">
        <v>60</v>
      </c>
      <c r="AE31" s="2">
        <v>45054</v>
      </c>
      <c r="AF31" s="17" t="s">
        <v>60</v>
      </c>
    </row>
    <row r="32" spans="1:32" ht="15.75" customHeight="1" x14ac:dyDescent="0.15">
      <c r="A32" s="2">
        <v>45061</v>
      </c>
      <c r="B32" s="17" t="s">
        <v>61</v>
      </c>
      <c r="C32" s="1"/>
      <c r="D32" s="1"/>
      <c r="E32" s="1"/>
      <c r="F32" s="1"/>
      <c r="K32" s="2">
        <v>45061</v>
      </c>
      <c r="L32" s="17" t="s">
        <v>61</v>
      </c>
      <c r="U32" s="2">
        <v>45061</v>
      </c>
      <c r="V32" s="17" t="s">
        <v>61</v>
      </c>
      <c r="AE32" s="2">
        <v>45061</v>
      </c>
      <c r="AF32" s="17" t="s">
        <v>61</v>
      </c>
    </row>
    <row r="33" spans="1:32" ht="15.75" customHeight="1" x14ac:dyDescent="0.15">
      <c r="A33" s="2">
        <v>45068</v>
      </c>
      <c r="B33" s="17" t="s">
        <v>62</v>
      </c>
      <c r="H33" s="6">
        <v>300</v>
      </c>
      <c r="K33" s="2">
        <v>45068</v>
      </c>
      <c r="L33" s="17" t="s">
        <v>62</v>
      </c>
      <c r="R33" s="6">
        <v>300</v>
      </c>
      <c r="U33" s="2">
        <v>45068</v>
      </c>
      <c r="V33" s="17" t="s">
        <v>62</v>
      </c>
      <c r="AE33" s="2">
        <v>45068</v>
      </c>
      <c r="AF33" s="17" t="s">
        <v>62</v>
      </c>
    </row>
    <row r="34" spans="1:32" ht="13" x14ac:dyDescent="0.15">
      <c r="A34" s="2">
        <v>45075</v>
      </c>
      <c r="B34" s="17" t="s">
        <v>63</v>
      </c>
      <c r="H34" s="6">
        <v>350</v>
      </c>
      <c r="K34" s="2">
        <v>45075</v>
      </c>
      <c r="L34" s="17" t="s">
        <v>63</v>
      </c>
      <c r="U34" s="2">
        <v>45075</v>
      </c>
      <c r="V34" s="17" t="s">
        <v>63</v>
      </c>
      <c r="AE34" s="2">
        <v>45075</v>
      </c>
      <c r="AF34" s="17" t="s">
        <v>63</v>
      </c>
    </row>
    <row r="35" spans="1:32" ht="15.75" customHeight="1" x14ac:dyDescent="0.15">
      <c r="A35" s="2">
        <v>45082</v>
      </c>
      <c r="B35" s="17" t="s">
        <v>64</v>
      </c>
      <c r="C35" s="2"/>
      <c r="D35" s="2"/>
      <c r="E35" s="2"/>
      <c r="F35" s="2"/>
      <c r="K35" s="2">
        <v>45082</v>
      </c>
      <c r="L35" s="17" t="s">
        <v>64</v>
      </c>
      <c r="U35" s="2">
        <v>45082</v>
      </c>
      <c r="V35" s="17" t="s">
        <v>64</v>
      </c>
      <c r="AE35" s="2">
        <v>45082</v>
      </c>
      <c r="AF35" s="17" t="s">
        <v>64</v>
      </c>
    </row>
    <row r="36" spans="1:32" ht="15.75" customHeight="1" x14ac:dyDescent="0.15">
      <c r="A36" s="2">
        <v>45089</v>
      </c>
      <c r="B36" s="17" t="s">
        <v>65</v>
      </c>
      <c r="C36" s="1"/>
      <c r="D36" s="1"/>
      <c r="E36" s="1"/>
      <c r="F36" s="1"/>
      <c r="K36" s="2">
        <v>45089</v>
      </c>
      <c r="L36" s="17" t="s">
        <v>65</v>
      </c>
      <c r="U36" s="2">
        <v>45089</v>
      </c>
      <c r="V36" s="17" t="s">
        <v>65</v>
      </c>
      <c r="AE36" s="2">
        <v>45089</v>
      </c>
      <c r="AF36" s="17" t="s">
        <v>65</v>
      </c>
    </row>
    <row r="37" spans="1:32" ht="15.75" customHeight="1" x14ac:dyDescent="0.15">
      <c r="A37" s="2">
        <v>45096</v>
      </c>
      <c r="B37" s="17" t="s">
        <v>66</v>
      </c>
      <c r="C37" s="1"/>
      <c r="D37" s="1"/>
      <c r="E37" s="1"/>
      <c r="F37" s="1"/>
      <c r="K37" s="2">
        <v>45096</v>
      </c>
      <c r="L37" s="17" t="s">
        <v>66</v>
      </c>
      <c r="U37" s="2">
        <v>45096</v>
      </c>
      <c r="V37" s="17" t="s">
        <v>66</v>
      </c>
      <c r="AE37" s="2">
        <v>45096</v>
      </c>
      <c r="AF37" s="17" t="s">
        <v>66</v>
      </c>
    </row>
    <row r="38" spans="1:32" ht="15.75" customHeight="1" x14ac:dyDescent="0.15">
      <c r="A38" s="2">
        <v>45103</v>
      </c>
      <c r="B38" s="17" t="s">
        <v>67</v>
      </c>
      <c r="C38" s="1"/>
      <c r="D38" s="1"/>
      <c r="E38" s="1"/>
      <c r="F38" s="1"/>
      <c r="K38" s="2">
        <v>45103</v>
      </c>
      <c r="L38" s="17" t="s">
        <v>67</v>
      </c>
      <c r="U38" s="2">
        <v>45103</v>
      </c>
      <c r="V38" s="17" t="s">
        <v>67</v>
      </c>
      <c r="AE38" s="2">
        <v>45103</v>
      </c>
      <c r="AF38" s="17" t="s">
        <v>67</v>
      </c>
    </row>
    <row r="39" spans="1:32" ht="15.75" customHeight="1" x14ac:dyDescent="0.15">
      <c r="A39" s="2">
        <v>45110</v>
      </c>
      <c r="B39" s="17" t="s">
        <v>68</v>
      </c>
      <c r="C39" s="1"/>
      <c r="D39" s="1"/>
      <c r="E39" s="1"/>
      <c r="F39" s="1"/>
      <c r="K39" s="2">
        <v>45110</v>
      </c>
      <c r="L39" s="17" t="s">
        <v>68</v>
      </c>
      <c r="U39" s="2">
        <v>45110</v>
      </c>
      <c r="V39" s="17" t="s">
        <v>68</v>
      </c>
      <c r="AE39" s="2">
        <v>45110</v>
      </c>
      <c r="AF39" s="17" t="s">
        <v>68</v>
      </c>
    </row>
    <row r="40" spans="1:32" ht="15.75" customHeight="1" x14ac:dyDescent="0.15">
      <c r="A40" s="2">
        <v>45117</v>
      </c>
      <c r="B40" s="17" t="s">
        <v>69</v>
      </c>
      <c r="C40" s="1"/>
      <c r="D40" s="1"/>
      <c r="E40" s="1"/>
      <c r="F40" s="1"/>
      <c r="K40" s="2">
        <v>45117</v>
      </c>
      <c r="L40" s="17" t="s">
        <v>69</v>
      </c>
      <c r="U40" s="2">
        <v>45117</v>
      </c>
      <c r="V40" s="17" t="s">
        <v>69</v>
      </c>
      <c r="AE40" s="2">
        <v>45117</v>
      </c>
      <c r="AF40" s="17" t="s">
        <v>69</v>
      </c>
    </row>
    <row r="41" spans="1:32" ht="15.75" customHeight="1" x14ac:dyDescent="0.15">
      <c r="A41" s="2">
        <v>45124</v>
      </c>
      <c r="B41" s="17" t="s">
        <v>70</v>
      </c>
      <c r="C41" s="1"/>
      <c r="D41" s="1"/>
      <c r="E41" s="1"/>
      <c r="F41" s="1"/>
      <c r="K41" s="2">
        <v>45124</v>
      </c>
      <c r="L41" s="17" t="s">
        <v>70</v>
      </c>
      <c r="U41" s="2">
        <v>45124</v>
      </c>
      <c r="V41" s="17" t="s">
        <v>70</v>
      </c>
      <c r="AE41" s="2">
        <v>45124</v>
      </c>
      <c r="AF41" s="17" t="s">
        <v>70</v>
      </c>
    </row>
    <row r="42" spans="1:32" ht="15.75" customHeight="1" x14ac:dyDescent="0.15">
      <c r="A42" s="2">
        <v>45131</v>
      </c>
      <c r="B42" s="17" t="s">
        <v>71</v>
      </c>
      <c r="C42" s="1"/>
      <c r="D42" s="1"/>
      <c r="E42" s="1"/>
      <c r="F42" s="1"/>
      <c r="K42" s="2">
        <v>45131</v>
      </c>
      <c r="L42" s="17" t="s">
        <v>71</v>
      </c>
      <c r="U42" s="2">
        <v>45131</v>
      </c>
      <c r="V42" s="17" t="s">
        <v>71</v>
      </c>
      <c r="AE42" s="2">
        <v>45131</v>
      </c>
      <c r="AF42" s="17" t="s">
        <v>71</v>
      </c>
    </row>
    <row r="43" spans="1:32" ht="15.75" customHeight="1" x14ac:dyDescent="0.15">
      <c r="A43" s="2">
        <v>45138</v>
      </c>
      <c r="B43" s="17" t="s">
        <v>72</v>
      </c>
      <c r="C43" s="1"/>
      <c r="D43" s="1"/>
      <c r="E43" s="1"/>
      <c r="F43" s="1"/>
      <c r="K43" s="2">
        <v>45138</v>
      </c>
      <c r="L43" s="17" t="s">
        <v>72</v>
      </c>
      <c r="U43" s="2">
        <v>45138</v>
      </c>
      <c r="V43" s="17" t="s">
        <v>72</v>
      </c>
      <c r="AE43" s="2">
        <v>45138</v>
      </c>
      <c r="AF43" s="17" t="s">
        <v>72</v>
      </c>
    </row>
    <row r="44" spans="1:32" ht="15.75" customHeight="1" x14ac:dyDescent="0.15">
      <c r="A44" s="2">
        <v>45145</v>
      </c>
      <c r="B44" s="17" t="s">
        <v>73</v>
      </c>
      <c r="K44" s="2">
        <v>45145</v>
      </c>
      <c r="L44" s="17" t="s">
        <v>73</v>
      </c>
      <c r="U44" s="2">
        <v>45145</v>
      </c>
      <c r="V44" s="17" t="s">
        <v>73</v>
      </c>
      <c r="AE44" s="2">
        <v>45145</v>
      </c>
      <c r="AF44" s="17" t="s">
        <v>73</v>
      </c>
    </row>
    <row r="45" spans="1:32" ht="15.75" customHeight="1" x14ac:dyDescent="0.15">
      <c r="A45" s="2">
        <v>45152</v>
      </c>
      <c r="B45" s="17" t="s">
        <v>74</v>
      </c>
      <c r="K45" s="2">
        <v>45152</v>
      </c>
      <c r="L45" s="17" t="s">
        <v>74</v>
      </c>
      <c r="U45" s="2">
        <v>45152</v>
      </c>
      <c r="V45" s="17" t="s">
        <v>74</v>
      </c>
      <c r="AE45" s="2">
        <v>45152</v>
      </c>
      <c r="AF45" s="17" t="s">
        <v>74</v>
      </c>
    </row>
    <row r="46" spans="1:32" ht="15.75" customHeight="1" x14ac:dyDescent="0.15">
      <c r="A46" s="2">
        <v>45159</v>
      </c>
      <c r="B46" s="17" t="s">
        <v>75</v>
      </c>
      <c r="K46" s="2">
        <v>45159</v>
      </c>
      <c r="L46" s="17" t="s">
        <v>75</v>
      </c>
      <c r="U46" s="2">
        <v>45159</v>
      </c>
      <c r="V46" s="17" t="s">
        <v>75</v>
      </c>
      <c r="AE46" s="2">
        <v>45159</v>
      </c>
      <c r="AF46" s="17" t="s">
        <v>75</v>
      </c>
    </row>
    <row r="47" spans="1:32" ht="15.75" customHeight="1" x14ac:dyDescent="0.15">
      <c r="A47" s="2">
        <v>45166</v>
      </c>
      <c r="B47" s="17" t="s">
        <v>76</v>
      </c>
      <c r="K47" s="2">
        <v>45166</v>
      </c>
      <c r="L47" s="17" t="s">
        <v>76</v>
      </c>
      <c r="U47" s="2">
        <v>45166</v>
      </c>
      <c r="V47" s="17" t="s">
        <v>76</v>
      </c>
      <c r="AE47" s="2">
        <v>45166</v>
      </c>
      <c r="AF47" s="17" t="s">
        <v>76</v>
      </c>
    </row>
    <row r="48" spans="1:32" ht="15.75" customHeight="1" x14ac:dyDescent="0.15">
      <c r="A48" s="2">
        <v>45173</v>
      </c>
      <c r="B48" s="17" t="s">
        <v>77</v>
      </c>
      <c r="H48" s="6">
        <v>150</v>
      </c>
      <c r="K48" s="2">
        <v>45173</v>
      </c>
      <c r="L48" s="17" t="s">
        <v>77</v>
      </c>
      <c r="R48" s="6">
        <v>150</v>
      </c>
      <c r="U48" s="2">
        <v>45173</v>
      </c>
      <c r="V48" s="17" t="s">
        <v>77</v>
      </c>
      <c r="AC48" s="6">
        <v>150</v>
      </c>
      <c r="AE48" s="2">
        <v>45173</v>
      </c>
      <c r="AF48" s="17" t="s">
        <v>77</v>
      </c>
    </row>
    <row r="49" spans="1:32" ht="15.75" customHeight="1" x14ac:dyDescent="0.15">
      <c r="A49" s="2">
        <v>45180</v>
      </c>
      <c r="B49" s="17" t="s">
        <v>78</v>
      </c>
      <c r="K49" s="2">
        <v>45180</v>
      </c>
      <c r="L49" s="17" t="s">
        <v>78</v>
      </c>
      <c r="U49" s="2">
        <v>45180</v>
      </c>
      <c r="V49" s="17" t="s">
        <v>78</v>
      </c>
      <c r="AE49" s="2">
        <v>45180</v>
      </c>
      <c r="AF49" s="17" t="s">
        <v>78</v>
      </c>
    </row>
    <row r="50" spans="1:32" ht="15.75" customHeight="1" x14ac:dyDescent="0.15">
      <c r="A50" s="2">
        <v>45187</v>
      </c>
      <c r="B50" s="17" t="s">
        <v>79</v>
      </c>
      <c r="K50" s="2">
        <v>45187</v>
      </c>
      <c r="L50" s="17" t="s">
        <v>79</v>
      </c>
      <c r="U50" s="2">
        <v>45187</v>
      </c>
      <c r="V50" s="17" t="s">
        <v>79</v>
      </c>
      <c r="AE50" s="2">
        <v>45187</v>
      </c>
      <c r="AF50" s="17" t="s">
        <v>79</v>
      </c>
    </row>
    <row r="51" spans="1:32" ht="15.75" customHeight="1" x14ac:dyDescent="0.15">
      <c r="A51" s="2">
        <v>45194</v>
      </c>
      <c r="B51" s="17" t="s">
        <v>80</v>
      </c>
      <c r="K51" s="2">
        <v>45194</v>
      </c>
      <c r="L51" s="17" t="s">
        <v>80</v>
      </c>
      <c r="U51" s="2">
        <v>45194</v>
      </c>
      <c r="V51" s="17" t="s">
        <v>80</v>
      </c>
      <c r="AE51" s="2">
        <v>45194</v>
      </c>
      <c r="AF51" s="17" t="s">
        <v>80</v>
      </c>
    </row>
    <row r="52" spans="1:32" ht="15.75" customHeight="1" x14ac:dyDescent="0.15">
      <c r="A52" s="2">
        <v>45201</v>
      </c>
      <c r="B52" s="17" t="s">
        <v>81</v>
      </c>
      <c r="K52" s="2">
        <v>45201</v>
      </c>
      <c r="L52" s="17" t="s">
        <v>81</v>
      </c>
      <c r="U52" s="2">
        <v>45201</v>
      </c>
      <c r="V52" s="17" t="s">
        <v>81</v>
      </c>
      <c r="AE52" s="2">
        <v>45201</v>
      </c>
      <c r="AF52" s="17" t="s">
        <v>81</v>
      </c>
    </row>
    <row r="53" spans="1:32" ht="15.75" customHeight="1" x14ac:dyDescent="0.15">
      <c r="A53" s="2">
        <v>45208</v>
      </c>
      <c r="B53" s="17" t="s">
        <v>82</v>
      </c>
      <c r="K53" s="2">
        <v>45208</v>
      </c>
      <c r="L53" s="17" t="s">
        <v>82</v>
      </c>
      <c r="U53" s="2">
        <v>45208</v>
      </c>
      <c r="V53" s="17" t="s">
        <v>82</v>
      </c>
      <c r="AE53" s="2">
        <v>45208</v>
      </c>
      <c r="AF53" s="17" t="s">
        <v>82</v>
      </c>
    </row>
    <row r="54" spans="1:32" ht="15.75" customHeight="1" x14ac:dyDescent="0.15">
      <c r="A54" s="2">
        <v>45215</v>
      </c>
      <c r="B54" s="17" t="s">
        <v>83</v>
      </c>
      <c r="I54" s="6">
        <v>300</v>
      </c>
      <c r="K54" s="2">
        <v>45215</v>
      </c>
      <c r="L54" s="17" t="s">
        <v>83</v>
      </c>
      <c r="U54" s="2">
        <v>45215</v>
      </c>
      <c r="V54" s="17" t="s">
        <v>83</v>
      </c>
      <c r="AE54" s="2">
        <v>45215</v>
      </c>
      <c r="AF54" s="17" t="s">
        <v>83</v>
      </c>
    </row>
    <row r="55" spans="1:32" ht="15.75" customHeight="1" x14ac:dyDescent="0.15">
      <c r="A55" s="2">
        <v>45222</v>
      </c>
      <c r="B55" s="17" t="s">
        <v>37</v>
      </c>
      <c r="K55" s="2">
        <v>45222</v>
      </c>
      <c r="L55" s="17" t="s">
        <v>37</v>
      </c>
      <c r="U55" s="2">
        <v>45222</v>
      </c>
      <c r="V55" s="17" t="s">
        <v>37</v>
      </c>
      <c r="AE55" s="2">
        <v>45222</v>
      </c>
      <c r="AF55" s="17" t="s">
        <v>37</v>
      </c>
    </row>
    <row r="56" spans="1:32" ht="15.75" customHeight="1" x14ac:dyDescent="0.15">
      <c r="A56" s="2">
        <v>45229</v>
      </c>
      <c r="B56" s="17" t="s">
        <v>38</v>
      </c>
      <c r="H56" s="6">
        <v>150</v>
      </c>
      <c r="I56" s="6">
        <v>150</v>
      </c>
      <c r="K56" s="2">
        <v>45229</v>
      </c>
      <c r="L56" s="17" t="s">
        <v>38</v>
      </c>
      <c r="S56" s="6">
        <v>400</v>
      </c>
      <c r="U56" s="2">
        <v>45229</v>
      </c>
      <c r="V56" s="17" t="s">
        <v>38</v>
      </c>
      <c r="AE56" s="2">
        <v>45229</v>
      </c>
      <c r="AF56" s="17" t="s">
        <v>38</v>
      </c>
    </row>
    <row r="57" spans="1:32" ht="15.75" customHeight="1" x14ac:dyDescent="0.15">
      <c r="A57" s="2">
        <v>45236</v>
      </c>
      <c r="B57" s="17" t="s">
        <v>39</v>
      </c>
      <c r="K57" s="2">
        <v>45236</v>
      </c>
      <c r="L57" s="17" t="s">
        <v>39</v>
      </c>
      <c r="U57" s="2">
        <v>45236</v>
      </c>
      <c r="V57" s="17" t="s">
        <v>39</v>
      </c>
      <c r="AE57" s="2">
        <v>45236</v>
      </c>
      <c r="AF57" s="17" t="s">
        <v>39</v>
      </c>
    </row>
    <row r="58" spans="1:32" ht="15.75" customHeight="1" x14ac:dyDescent="0.15">
      <c r="A58" s="2">
        <v>45243</v>
      </c>
      <c r="B58" s="17" t="s">
        <v>40</v>
      </c>
      <c r="K58" s="2">
        <v>45243</v>
      </c>
      <c r="L58" s="17" t="s">
        <v>40</v>
      </c>
      <c r="U58" s="2">
        <v>45243</v>
      </c>
      <c r="V58" s="17" t="s">
        <v>40</v>
      </c>
      <c r="AE58" s="2">
        <v>45243</v>
      </c>
      <c r="AF58" s="17" t="s">
        <v>40</v>
      </c>
    </row>
    <row r="59" spans="1:32" ht="15.75" customHeight="1" x14ac:dyDescent="0.15">
      <c r="A59" s="2">
        <v>45250</v>
      </c>
      <c r="B59" s="17" t="s">
        <v>41</v>
      </c>
      <c r="K59" s="2">
        <v>45250</v>
      </c>
      <c r="L59" s="17" t="s">
        <v>41</v>
      </c>
      <c r="U59" s="2">
        <v>45250</v>
      </c>
      <c r="V59" s="17" t="s">
        <v>41</v>
      </c>
      <c r="AE59" s="2">
        <v>45250</v>
      </c>
      <c r="AF59" s="17" t="s">
        <v>41</v>
      </c>
    </row>
    <row r="60" spans="1:32" ht="15.75" customHeight="1" x14ac:dyDescent="0.15">
      <c r="A60" s="2">
        <v>45257</v>
      </c>
      <c r="B60" s="17" t="s">
        <v>42</v>
      </c>
      <c r="K60" s="2">
        <v>45257</v>
      </c>
      <c r="L60" s="17" t="s">
        <v>42</v>
      </c>
      <c r="U60" s="2">
        <v>45257</v>
      </c>
      <c r="V60" s="17" t="s">
        <v>42</v>
      </c>
      <c r="AE60" s="2">
        <v>45257</v>
      </c>
      <c r="AF60" s="17" t="s">
        <v>42</v>
      </c>
    </row>
    <row r="61" spans="1:32" ht="15.75" customHeight="1" x14ac:dyDescent="0.15">
      <c r="A61" s="2">
        <v>45264</v>
      </c>
      <c r="B61" s="17" t="s">
        <v>43</v>
      </c>
      <c r="H61" s="6">
        <v>900</v>
      </c>
      <c r="K61" s="2">
        <v>45264</v>
      </c>
      <c r="L61" s="17" t="s">
        <v>43</v>
      </c>
      <c r="U61" s="2">
        <v>45264</v>
      </c>
      <c r="V61" s="17" t="s">
        <v>43</v>
      </c>
      <c r="AE61" s="2">
        <v>45264</v>
      </c>
      <c r="AF61" s="17" t="s">
        <v>43</v>
      </c>
    </row>
    <row r="62" spans="1:32" ht="15.75" customHeight="1" x14ac:dyDescent="0.15">
      <c r="A62" s="2">
        <v>45271</v>
      </c>
      <c r="B62" s="17" t="s">
        <v>44</v>
      </c>
      <c r="K62" s="2">
        <v>45271</v>
      </c>
      <c r="L62" s="17" t="s">
        <v>44</v>
      </c>
      <c r="U62" s="2">
        <v>45271</v>
      </c>
      <c r="V62" s="17" t="s">
        <v>44</v>
      </c>
      <c r="AE62" s="2">
        <v>45271</v>
      </c>
      <c r="AF62" s="17" t="s">
        <v>44</v>
      </c>
    </row>
    <row r="63" spans="1:32" ht="15.75" customHeight="1" x14ac:dyDescent="0.15">
      <c r="A63" s="2">
        <v>45278</v>
      </c>
      <c r="B63" s="17" t="s">
        <v>45</v>
      </c>
      <c r="K63" s="2">
        <v>45278</v>
      </c>
      <c r="L63" s="17" t="s">
        <v>45</v>
      </c>
      <c r="U63" s="2">
        <v>45278</v>
      </c>
      <c r="V63" s="17" t="s">
        <v>45</v>
      </c>
      <c r="AE63" s="2">
        <v>45278</v>
      </c>
      <c r="AF63" s="17" t="s">
        <v>45</v>
      </c>
    </row>
    <row r="64" spans="1:32" ht="15.75" customHeight="1" x14ac:dyDescent="0.15">
      <c r="A64" s="2">
        <v>45285</v>
      </c>
      <c r="B64" s="17" t="s">
        <v>46</v>
      </c>
      <c r="J64" s="6">
        <v>400</v>
      </c>
      <c r="K64" s="2">
        <v>45285</v>
      </c>
      <c r="L64" s="17" t="s">
        <v>46</v>
      </c>
      <c r="U64" s="2">
        <v>45285</v>
      </c>
      <c r="V64" s="17" t="s">
        <v>46</v>
      </c>
      <c r="AE64" s="2">
        <v>45285</v>
      </c>
      <c r="AF64" s="17" t="s">
        <v>46</v>
      </c>
    </row>
    <row r="65" spans="1:1" ht="15.75" customHeight="1" x14ac:dyDescent="0.15">
      <c r="A65" s="2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47"/>
  <sheetViews>
    <sheetView workbookViewId="0">
      <selection activeCell="D9" sqref="D9"/>
    </sheetView>
  </sheetViews>
  <sheetFormatPr baseColWidth="10" defaultColWidth="12.6640625" defaultRowHeight="15.75" customHeight="1" x14ac:dyDescent="0.15"/>
  <sheetData>
    <row r="1" spans="1:17" ht="15.75" customHeight="1" x14ac:dyDescent="0.15">
      <c r="B1" s="1" t="s">
        <v>0</v>
      </c>
    </row>
    <row r="2" spans="1:17" ht="15.75" customHeight="1" x14ac:dyDescent="0.15"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M2" s="1" t="s">
        <v>36</v>
      </c>
      <c r="N2" s="1">
        <f>SUM(L11:L23)</f>
        <v>1950</v>
      </c>
      <c r="P2" s="3"/>
      <c r="Q2" s="1" t="s">
        <v>11</v>
      </c>
    </row>
    <row r="3" spans="1:17" ht="15.75" customHeight="1" x14ac:dyDescent="0.15"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P3" s="4"/>
      <c r="Q3" s="1" t="s">
        <v>13</v>
      </c>
    </row>
    <row r="4" spans="1:17" ht="15.75" customHeight="1" x14ac:dyDescent="0.15"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P4" s="5"/>
      <c r="Q4" s="1" t="s">
        <v>15</v>
      </c>
    </row>
    <row r="5" spans="1:17" ht="15.75" customHeight="1" x14ac:dyDescent="0.15"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P5" s="6"/>
      <c r="Q5" s="1" t="s">
        <v>17</v>
      </c>
    </row>
    <row r="6" spans="1:17" ht="15.75" customHeight="1" x14ac:dyDescent="0.15"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</row>
    <row r="7" spans="1:17" ht="15.75" customHeight="1" x14ac:dyDescent="0.15">
      <c r="B7" s="1" t="s">
        <v>18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</row>
    <row r="8" spans="1:17" ht="15.75" customHeight="1" x14ac:dyDescent="0.15">
      <c r="B8" s="1" t="s">
        <v>19</v>
      </c>
      <c r="C8" s="1" t="s">
        <v>19</v>
      </c>
      <c r="D8" s="1" t="s">
        <v>19</v>
      </c>
      <c r="E8" s="6" t="s">
        <v>47</v>
      </c>
      <c r="F8" s="1" t="s">
        <v>19</v>
      </c>
      <c r="G8" s="1" t="s">
        <v>19</v>
      </c>
      <c r="H8" s="6" t="s">
        <v>48</v>
      </c>
      <c r="I8" s="1" t="s">
        <v>19</v>
      </c>
      <c r="J8" s="1" t="s">
        <v>19</v>
      </c>
      <c r="K8" s="1" t="s">
        <v>19</v>
      </c>
    </row>
    <row r="9" spans="1:17" ht="15.75" customHeight="1" x14ac:dyDescent="0.15">
      <c r="B9" s="1" t="s">
        <v>20</v>
      </c>
      <c r="C9" s="1" t="s">
        <v>20</v>
      </c>
      <c r="D9" s="6" t="s">
        <v>21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6" t="s">
        <v>21</v>
      </c>
    </row>
    <row r="10" spans="1:17" ht="15.75" customHeight="1" x14ac:dyDescent="0.15"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</row>
    <row r="11" spans="1:17" ht="15.75" customHeight="1" x14ac:dyDescent="0.15">
      <c r="A11" s="1" t="s">
        <v>49</v>
      </c>
      <c r="D11" s="1">
        <v>300</v>
      </c>
      <c r="E11" s="1">
        <v>300</v>
      </c>
      <c r="H11" s="1">
        <v>225</v>
      </c>
      <c r="K11" s="1">
        <v>300</v>
      </c>
      <c r="L11" s="1">
        <f>SUM(B11:K11)</f>
        <v>1125</v>
      </c>
    </row>
    <row r="13" spans="1:17" ht="13" x14ac:dyDescent="0.15">
      <c r="B13" s="7" t="s">
        <v>23</v>
      </c>
      <c r="L13" s="3"/>
    </row>
    <row r="14" spans="1:17" ht="15.75" customHeight="1" x14ac:dyDescent="0.15"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32</v>
      </c>
      <c r="I14" s="1" t="s">
        <v>33</v>
      </c>
      <c r="J14" s="1" t="s">
        <v>34</v>
      </c>
      <c r="K14" s="1" t="s">
        <v>35</v>
      </c>
    </row>
    <row r="15" spans="1:17" ht="15.75" customHeight="1" x14ac:dyDescent="0.15"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44</v>
      </c>
      <c r="J15" s="1" t="s">
        <v>45</v>
      </c>
      <c r="K15" s="1" t="s">
        <v>46</v>
      </c>
    </row>
    <row r="16" spans="1:17" ht="15.75" customHeight="1" x14ac:dyDescent="0.15"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</row>
    <row r="17" spans="1:13" ht="15.75" customHeight="1" x14ac:dyDescent="0.15">
      <c r="B17" s="1" t="s">
        <v>14</v>
      </c>
      <c r="C17" s="1" t="s">
        <v>14</v>
      </c>
      <c r="D17" s="1" t="s">
        <v>14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</row>
    <row r="18" spans="1:13" ht="15.75" customHeight="1" x14ac:dyDescent="0.15"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</row>
    <row r="19" spans="1:13" ht="15.75" customHeight="1" x14ac:dyDescent="0.15">
      <c r="B19" s="1" t="s">
        <v>18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</row>
    <row r="20" spans="1:13" ht="15.75" customHeight="1" x14ac:dyDescent="0.15">
      <c r="B20" s="1" t="s">
        <v>19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6" t="s">
        <v>48</v>
      </c>
      <c r="I20" s="1" t="s">
        <v>19</v>
      </c>
      <c r="J20" s="1" t="s">
        <v>19</v>
      </c>
      <c r="K20" s="1" t="s">
        <v>19</v>
      </c>
    </row>
    <row r="21" spans="1:13" ht="15.75" customHeight="1" x14ac:dyDescent="0.15">
      <c r="B21" s="1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6" t="s">
        <v>21</v>
      </c>
    </row>
    <row r="22" spans="1:13" ht="15.75" customHeight="1" x14ac:dyDescent="0.15">
      <c r="B22" s="1" t="s">
        <v>22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6" t="s">
        <v>50</v>
      </c>
    </row>
    <row r="23" spans="1:13" ht="15.75" customHeight="1" x14ac:dyDescent="0.15">
      <c r="A23" s="1" t="s">
        <v>49</v>
      </c>
      <c r="H23" s="1">
        <v>225</v>
      </c>
      <c r="K23" s="1">
        <v>600</v>
      </c>
      <c r="L23" s="1">
        <f>SUM(B23:K23)</f>
        <v>825</v>
      </c>
    </row>
    <row r="24" spans="1:13" ht="15.75" customHeight="1" x14ac:dyDescent="0.15">
      <c r="L24" s="3"/>
      <c r="M24" s="1" t="s">
        <v>11</v>
      </c>
    </row>
    <row r="25" spans="1:13" ht="13" x14ac:dyDescent="0.15">
      <c r="B25" s="7" t="s">
        <v>24</v>
      </c>
    </row>
    <row r="26" spans="1:13" ht="15.75" customHeight="1" x14ac:dyDescent="0.15">
      <c r="B26" s="1" t="s">
        <v>26</v>
      </c>
      <c r="C26" s="1" t="s">
        <v>27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32</v>
      </c>
      <c r="I26" s="1" t="s">
        <v>33</v>
      </c>
      <c r="J26" s="1" t="s">
        <v>34</v>
      </c>
      <c r="K26" s="1" t="s">
        <v>35</v>
      </c>
    </row>
    <row r="27" spans="1:13" ht="15.75" customHeight="1" x14ac:dyDescent="0.15">
      <c r="B27" s="1" t="s">
        <v>37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44</v>
      </c>
      <c r="J27" s="1" t="s">
        <v>45</v>
      </c>
      <c r="K27" s="1" t="s">
        <v>46</v>
      </c>
    </row>
    <row r="28" spans="1:13" ht="15.75" customHeight="1" x14ac:dyDescent="0.15">
      <c r="B28" s="1" t="s">
        <v>12</v>
      </c>
      <c r="C28" s="1" t="s">
        <v>12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 t="s">
        <v>12</v>
      </c>
      <c r="K28" s="1" t="s">
        <v>12</v>
      </c>
    </row>
    <row r="29" spans="1:13" ht="15.75" customHeight="1" x14ac:dyDescent="0.15">
      <c r="B29" s="1" t="s">
        <v>14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14</v>
      </c>
    </row>
    <row r="30" spans="1:13" ht="15.75" customHeight="1" x14ac:dyDescent="0.15">
      <c r="B30" s="1" t="s">
        <v>16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</row>
    <row r="31" spans="1:13" ht="15.75" customHeight="1" x14ac:dyDescent="0.15">
      <c r="B31" s="1" t="s">
        <v>18</v>
      </c>
      <c r="C31" s="1" t="s">
        <v>18</v>
      </c>
      <c r="D31" s="1" t="s">
        <v>18</v>
      </c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 s="1" t="s">
        <v>18</v>
      </c>
    </row>
    <row r="32" spans="1:13" ht="15.75" customHeight="1" x14ac:dyDescent="0.15">
      <c r="B32" s="1" t="s">
        <v>19</v>
      </c>
      <c r="C32" s="1" t="s">
        <v>19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</row>
    <row r="33" spans="1:13" ht="15.75" customHeight="1" x14ac:dyDescent="0.15">
      <c r="B33" s="1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</row>
    <row r="34" spans="1:13" ht="15.75" customHeight="1" x14ac:dyDescent="0.15">
      <c r="B34" s="1" t="s">
        <v>22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</row>
    <row r="35" spans="1:13" ht="15.75" customHeight="1" x14ac:dyDescent="0.15">
      <c r="A35" s="1" t="s">
        <v>49</v>
      </c>
      <c r="L35" s="3"/>
      <c r="M35" s="1" t="s">
        <v>11</v>
      </c>
    </row>
    <row r="37" spans="1:13" ht="13" x14ac:dyDescent="0.15">
      <c r="B37" s="7" t="s">
        <v>25</v>
      </c>
    </row>
    <row r="38" spans="1:13" ht="15.75" customHeight="1" x14ac:dyDescent="0.15">
      <c r="B38" s="1" t="s">
        <v>26</v>
      </c>
      <c r="C38" s="1" t="s">
        <v>27</v>
      </c>
      <c r="D38" s="1" t="s">
        <v>28</v>
      </c>
      <c r="E38" s="1" t="s">
        <v>29</v>
      </c>
      <c r="F38" s="1" t="s">
        <v>30</v>
      </c>
      <c r="G38" s="1" t="s">
        <v>31</v>
      </c>
      <c r="H38" s="1" t="s">
        <v>32</v>
      </c>
      <c r="I38" s="1" t="s">
        <v>33</v>
      </c>
      <c r="J38" s="1" t="s">
        <v>34</v>
      </c>
      <c r="K38" s="1" t="s">
        <v>35</v>
      </c>
    </row>
    <row r="39" spans="1:13" ht="15.75" customHeight="1" x14ac:dyDescent="0.15">
      <c r="B39" s="1" t="s">
        <v>37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44</v>
      </c>
      <c r="J39" s="1" t="s">
        <v>45</v>
      </c>
      <c r="K39" s="1" t="s">
        <v>46</v>
      </c>
    </row>
    <row r="40" spans="1:13" ht="15.75" customHeight="1" x14ac:dyDescent="0.15">
      <c r="B40" s="1" t="s">
        <v>12</v>
      </c>
      <c r="C40" s="1" t="s">
        <v>12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 t="s">
        <v>12</v>
      </c>
      <c r="K40" s="1" t="s">
        <v>12</v>
      </c>
    </row>
    <row r="41" spans="1:13" ht="15.75" customHeight="1" x14ac:dyDescent="0.15">
      <c r="B41" s="1" t="s">
        <v>14</v>
      </c>
      <c r="C41" s="1" t="s">
        <v>14</v>
      </c>
      <c r="D41" s="1" t="s">
        <v>14</v>
      </c>
      <c r="E41" s="1" t="s">
        <v>14</v>
      </c>
      <c r="F41" s="1" t="s">
        <v>14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14</v>
      </c>
    </row>
    <row r="42" spans="1:13" ht="15.75" customHeight="1" x14ac:dyDescent="0.15">
      <c r="B42" s="1" t="s">
        <v>16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</row>
    <row r="43" spans="1:13" ht="15.75" customHeight="1" x14ac:dyDescent="0.15">
      <c r="B43" s="1" t="s">
        <v>18</v>
      </c>
      <c r="C43" s="1" t="s">
        <v>18</v>
      </c>
      <c r="D43" s="1" t="s">
        <v>18</v>
      </c>
      <c r="E43" s="1" t="s">
        <v>18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 s="1" t="s">
        <v>18</v>
      </c>
    </row>
    <row r="44" spans="1:13" ht="15.75" customHeight="1" x14ac:dyDescent="0.15">
      <c r="B44" s="1" t="s">
        <v>19</v>
      </c>
      <c r="C44" s="1" t="s">
        <v>19</v>
      </c>
      <c r="D44" s="1" t="s">
        <v>19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</row>
    <row r="45" spans="1:13" ht="15.75" customHeight="1" x14ac:dyDescent="0.15">
      <c r="B45" s="1" t="s">
        <v>20</v>
      </c>
      <c r="C45" s="1" t="s">
        <v>20</v>
      </c>
      <c r="D45" s="1" t="s">
        <v>20</v>
      </c>
      <c r="E45" s="1" t="s">
        <v>20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</row>
    <row r="46" spans="1:13" ht="13" x14ac:dyDescent="0.15">
      <c r="B46" s="1" t="s">
        <v>22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22</v>
      </c>
      <c r="I46" s="1" t="s">
        <v>22</v>
      </c>
      <c r="J46" s="1" t="s">
        <v>22</v>
      </c>
      <c r="K46" s="1" t="s">
        <v>22</v>
      </c>
    </row>
    <row r="47" spans="1:13" ht="13" x14ac:dyDescent="0.15">
      <c r="A47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 Rasmus Nør</cp:lastModifiedBy>
  <dcterms:created xsi:type="dcterms:W3CDTF">2026-04-14T06:37:15Z</dcterms:created>
  <dcterms:modified xsi:type="dcterms:W3CDTF">2026-04-14T06:37:15Z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e591e-8646-4d70-9912-d5861bc770cd_Enabled">
    <vt:lpwstr>true</vt:lpwstr>
  </property>
  <property fmtid="{D5CDD505-2E9C-101B-9397-08002B2CF9AE}" pid="3" name="MSIP_Label_b9ae591e-8646-4d70-9912-d5861bc770cd_SetDate">
    <vt:lpwstr>2025-08-19T20:02:58Z</vt:lpwstr>
  </property>
  <property fmtid="{D5CDD505-2E9C-101B-9397-08002B2CF9AE}" pid="4" name="MSIP_Label_b9ae591e-8646-4d70-9912-d5861bc770cd_Method">
    <vt:lpwstr>Privileged</vt:lpwstr>
  </property>
  <property fmtid="{D5CDD505-2E9C-101B-9397-08002B2CF9AE}" pid="5" name="MSIP_Label_b9ae591e-8646-4d70-9912-d5861bc770cd_Name">
    <vt:lpwstr>Public</vt:lpwstr>
  </property>
  <property fmtid="{D5CDD505-2E9C-101B-9397-08002B2CF9AE}" pid="6" name="MSIP_Label_b9ae591e-8646-4d70-9912-d5861bc770cd_SiteId">
    <vt:lpwstr>53c12cfb-7996-4bad-a47f-52c6498480f4</vt:lpwstr>
  </property>
  <property fmtid="{D5CDD505-2E9C-101B-9397-08002B2CF9AE}" pid="7" name="MSIP_Label_b9ae591e-8646-4d70-9912-d5861bc770cd_ActionId">
    <vt:lpwstr>f6dd9ce2-50ee-42c5-88c8-ede18716bba6</vt:lpwstr>
  </property>
  <property fmtid="{D5CDD505-2E9C-101B-9397-08002B2CF9AE}" pid="8" name="MSIP_Label_b9ae591e-8646-4d70-9912-d5861bc770cd_ContentBits">
    <vt:lpwstr>0</vt:lpwstr>
  </property>
  <property fmtid="{D5CDD505-2E9C-101B-9397-08002B2CF9AE}" pid="9" name="MSIP_Label_b9ae591e-8646-4d70-9912-d5861bc770cd_Tag">
    <vt:lpwstr>50, 0, 1, 1</vt:lpwstr>
  </property>
</Properties>
</file>